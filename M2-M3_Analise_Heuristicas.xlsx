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rick\Desktop\Projects\teoria-computacao\"/>
    </mc:Choice>
  </mc:AlternateContent>
  <xr:revisionPtr revIDLastSave="0" documentId="13_ncr:1_{005FAE58-F67D-4DDF-A280-5F7C23C36578}" xr6:coauthVersionLast="47" xr6:coauthVersionMax="47" xr10:uidLastSave="{00000000-0000-0000-0000-000000000000}"/>
  <bookViews>
    <workbookView xWindow="-120" yWindow="-120" windowWidth="29040" windowHeight="15720" tabRatio="500" firstSheet="2" activeTab="4" xr2:uid="{00000000-000D-0000-FFFF-FFFF00000000}"/>
  </bookViews>
  <sheets>
    <sheet name="Conclusoes" sheetId="1" r:id="rId1"/>
    <sheet name="Dados" sheetId="2" r:id="rId2"/>
    <sheet name="Resumo por Heuristica" sheetId="3" r:id="rId3"/>
    <sheet name="Resumo por Alpha" sheetId="4" r:id="rId4"/>
    <sheet name="Comparacao por Instanci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5" l="1"/>
  <c r="G9" i="5"/>
  <c r="F9" i="5"/>
  <c r="E9" i="5"/>
  <c r="D9" i="5"/>
  <c r="C9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H5" i="5"/>
  <c r="G5" i="5"/>
  <c r="F5" i="5"/>
  <c r="E5" i="5"/>
  <c r="D5" i="5"/>
  <c r="C5" i="5"/>
  <c r="H4" i="5"/>
  <c r="G4" i="5"/>
  <c r="F4" i="5"/>
  <c r="E4" i="5"/>
  <c r="D4" i="5"/>
  <c r="C4" i="5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<sst xmlns="http://schemas.openxmlformats.org/spreadsheetml/2006/main" count="648" uniqueCount="45">
  <si>
    <t>Conclusões da análise (M2 - Primeira Melhora x M3 - Monótona Randomizada)</t>
  </si>
  <si>
    <t>1) Heurística que demandou mais iterações: Primeira Melhora (M2).</t>
  </si>
  <si>
    <t xml:space="preserve">   Ver aba 'Resumo por Heuristica' - média muito acima da Monótona Randomizada,</t>
  </si>
  <si>
    <t xml:space="preserve">   e diferença cresce muito nas instâncias grandes (ver aba 'Comparacao por Instancia').</t>
  </si>
  <si>
    <t>2) Heurística que demandou mais tempo: Primeira Melhora (M2).</t>
  </si>
  <si>
    <t xml:space="preserve">   Mesma explicação: cada movimento aceito reinicia a varredura completa da vizinhança.</t>
  </si>
  <si>
    <t>3) Heurística com resultados de maior qualidade: Monótona Randomizada com alpha=0.1.</t>
  </si>
  <si>
    <t xml:space="preserve">   Olhando todos os alphas misturados fica quase empatado com a Primeira Melhora, mas</t>
  </si>
  <si>
    <t xml:space="preserve">   isolando o melhor parâmetro (alpha=0.1) a Monótona Randomizada vence na maioria das</t>
  </si>
  <si>
    <t xml:space="preserve">   instâncias (ver aba 'Comparacao por Instancia') e ainda é muito mais rápida.</t>
  </si>
  <si>
    <t>4) Parâmetros que garantem maior qualidade: alpha baixo (0.1, depois 0.2) na Monótona</t>
  </si>
  <si>
    <t xml:space="preserve">   Randomizada - ver tendência decrescente na aba 'Resumo por Alpha'.</t>
  </si>
  <si>
    <t>5) Parâmetros mais rápidos: alpha alto (0.8, 0.9) na Monótona Randomizada. A Primeira</t>
  </si>
  <si>
    <t xml:space="preserve">   Melhora não tem parâmetro ajustável e é sempre a mais lenta das duas heurísticas.</t>
  </si>
  <si>
    <t>heuristica</t>
  </si>
  <si>
    <t>n</t>
  </si>
  <si>
    <t>m</t>
  </si>
  <si>
    <t>replicacao</t>
  </si>
  <si>
    <t>tempo</t>
  </si>
  <si>
    <t>iteracoes</t>
  </si>
  <si>
    <t>valor</t>
  </si>
  <si>
    <t>parametro</t>
  </si>
  <si>
    <t>primeiramelhora</t>
  </si>
  <si>
    <t>monotonarandomizada</t>
  </si>
  <si>
    <t>Comparação geral entre heurísticas (M2 x M3)</t>
  </si>
  <si>
    <t>Heurística</t>
  </si>
  <si>
    <t>Média Iterações</t>
  </si>
  <si>
    <t>Máx. Iterações</t>
  </si>
  <si>
    <t>Média Tempo (ms)</t>
  </si>
  <si>
    <t>Máx. Tempo (ms)</t>
  </si>
  <si>
    <t>Média Valor (Makespan)</t>
  </si>
  <si>
    <t>Primeira Melhora (M2)</t>
  </si>
  <si>
    <t>Monótona Randomizada - todos os alphas (M3)</t>
  </si>
  <si>
    <t>Monótona Randomizada - alpha=0.1 (melhor caso)</t>
  </si>
  <si>
    <t>Nota: 'todos os alphas' mistura os 9 valores de alpha (0.1 a 0.9) da monótona randomizada; 'alpha=0.1' isola o parâmetro de melhor qualidade encontrado na análise.</t>
  </si>
  <si>
    <t>Efeito do parâmetro alpha na Monótona Randomizada (M3)</t>
  </si>
  <si>
    <t>Alpha</t>
  </si>
  <si>
    <t>Nota: quanto menor o alpha, menos passos de caminhada aleatória (que aceitam pioras) e mais passos de descida monótona -&gt; melhor qualidade, porém mais lento.</t>
  </si>
  <si>
    <t>Primeira Melhora (M2) x Monótona Randomizada alpha=0.1 (M3), por instância</t>
  </si>
  <si>
    <t>Valor - Primeira Melhora</t>
  </si>
  <si>
    <t>Valor - Monótona (a=0.1)</t>
  </si>
  <si>
    <t>Tempo - Primeira Melhora (ms)</t>
  </si>
  <si>
    <t>Tempo - Monótona (a=0.1) (ms)</t>
  </si>
  <si>
    <t>Iterações - Primeira Melhora</t>
  </si>
  <si>
    <t>Iterações - Monótona (a=0.1)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</si>
</sst>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1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3A9CE"/>
      <rgbColor rgb="FFAB4744"/>
      <rgbColor rgb="FFF9F9F9"/>
      <rgbColor rgb="FFCCFFFF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8B855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Média de Iterações por Heurística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Heuristica'!$B$3</c:f>
              <c:strCache>
                <c:ptCount val="1"/>
                <c:pt idx="0">
                  <c:v>Média Iterações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'Resumo por Heuristica'!$A$4:$A$6</c:f>
              <c:strCache>
                <c:ptCount val="3"/>
                <c:pt idx="0">
                  <c:v>Primeira Melhora (M2)</c:v>
                </c:pt>
                <c:pt idx="1">
                  <c:v>Monótona Randomizada - todos os alphas (M3)</c:v>
                </c:pt>
                <c:pt idx="2">
                  <c:v>Monótona Randomizada - alpha=0.1 (melhor caso)</c:v>
                </c:pt>
              </c:strCache>
            </c:strRef>
          </c:cat>
          <c:val>
            <c:numRef>
              <c:f>'Resumo por Heuristica'!$B$4:$B$6</c:f>
              <c:numCache>
                <c:formatCode>0.00</c:formatCode>
                <c:ptCount val="3"/>
                <c:pt idx="0">
                  <c:v>53257.1</c:v>
                </c:pt>
                <c:pt idx="1">
                  <c:v>1943.2037037037037</c:v>
                </c:pt>
                <c:pt idx="2">
                  <c:v>2242.5500000000002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6-4BCA-A912-3BBD12D1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87896"/>
        <c:axId val="15943322"/>
      </c:barChart>
      <c:catAx>
        <c:axId val="199878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Heurística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943322"/>
        <c:crosses val="autoZero"/>
        <c:auto val="1"/>
        <c:lblAlgn val="ctr"/>
        <c:lblOffset val="100"/>
        <c:noMultiLvlLbl val="0"/>
      </c:catAx>
      <c:valAx>
        <c:axId val="15943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Iterações (média)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987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Média de Tempo (ms) por Heurística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Heuristica'!$D$3</c:f>
              <c:strCache>
                <c:ptCount val="1"/>
                <c:pt idx="0">
                  <c:v>Média Tempo (ms)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'Resumo por Heuristica'!$A$4:$A$6</c:f>
              <c:strCache>
                <c:ptCount val="3"/>
                <c:pt idx="0">
                  <c:v>Primeira Melhora (M2)</c:v>
                </c:pt>
                <c:pt idx="1">
                  <c:v>Monótona Randomizada - todos os alphas (M3)</c:v>
                </c:pt>
                <c:pt idx="2">
                  <c:v>Monótona Randomizada - alpha=0.1 (melhor caso)</c:v>
                </c:pt>
              </c:strCache>
            </c:strRef>
          </c:cat>
          <c:val>
            <c:numRef>
              <c:f>'Resumo por Heuristica'!$D$4:$D$6</c:f>
              <c:numCache>
                <c:formatCode>0.00</c:formatCode>
                <c:ptCount val="3"/>
                <c:pt idx="0">
                  <c:v>9.6772833333333317</c:v>
                </c:pt>
                <c:pt idx="1">
                  <c:v>0.35362222222222228</c:v>
                </c:pt>
                <c:pt idx="2">
                  <c:v>0.40778333333333339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B-43B2-ABC9-9C6CD796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10095"/>
        <c:axId val="93411275"/>
      </c:barChart>
      <c:catAx>
        <c:axId val="254100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Heurística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411275"/>
        <c:crosses val="autoZero"/>
        <c:auto val="1"/>
        <c:lblAlgn val="ctr"/>
        <c:lblOffset val="100"/>
        <c:noMultiLvlLbl val="0"/>
      </c:catAx>
      <c:valAx>
        <c:axId val="93411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54100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Média do Makespan (qualidade) por Heurística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Heuristica'!$F$3</c:f>
              <c:strCache>
                <c:ptCount val="1"/>
                <c:pt idx="0">
                  <c:v>Média Valor (Makespan)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'Resumo por Heuristica'!$A$4:$A$6</c:f>
              <c:strCache>
                <c:ptCount val="3"/>
                <c:pt idx="0">
                  <c:v>Primeira Melhora (M2)</c:v>
                </c:pt>
                <c:pt idx="1">
                  <c:v>Monótona Randomizada - todos os alphas (M3)</c:v>
                </c:pt>
                <c:pt idx="2">
                  <c:v>Monótona Randomizada - alpha=0.1 (melhor caso)</c:v>
                </c:pt>
              </c:strCache>
            </c:strRef>
          </c:cat>
          <c:val>
            <c:numRef>
              <c:f>'Resumo por Heuristica'!$F$4:$F$6</c:f>
              <c:numCache>
                <c:formatCode>0.00</c:formatCode>
                <c:ptCount val="3"/>
                <c:pt idx="0">
                  <c:v>979.15</c:v>
                </c:pt>
                <c:pt idx="1">
                  <c:v>976.62777777777774</c:v>
                </c:pt>
                <c:pt idx="2">
                  <c:v>906.3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C-4DB3-B57D-FA2AA35F5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7543"/>
        <c:axId val="31732276"/>
      </c:barChart>
      <c:catAx>
        <c:axId val="18275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Heurística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1732276"/>
        <c:crosses val="autoZero"/>
        <c:auto val="1"/>
        <c:lblAlgn val="ctr"/>
        <c:lblOffset val="100"/>
        <c:noMultiLvlLbl val="0"/>
      </c:catAx>
      <c:valAx>
        <c:axId val="31732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Makespan médio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8275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Qualidade (Makespan médio) por Alpha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'Resumo por Alpha'!$D$3</c:f>
              <c:strCache>
                <c:ptCount val="1"/>
                <c:pt idx="0">
                  <c:v>Média Valor (Makespan)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'Resumo por Alpha'!$A$4:$A$12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'Resumo por Alpha'!$D$4:$D$12</c:f>
              <c:numCache>
                <c:formatCode>0.00</c:formatCode>
                <c:ptCount val="9"/>
                <c:pt idx="0">
                  <c:v>906.3</c:v>
                </c:pt>
                <c:pt idx="1">
                  <c:v>933.05</c:v>
                </c:pt>
                <c:pt idx="2">
                  <c:v>964.65</c:v>
                </c:pt>
                <c:pt idx="3">
                  <c:v>968.4</c:v>
                </c:pt>
                <c:pt idx="4">
                  <c:v>969.73333333333335</c:v>
                </c:pt>
                <c:pt idx="5">
                  <c:v>992.91666666666663</c:v>
                </c:pt>
                <c:pt idx="6">
                  <c:v>1007.9</c:v>
                </c:pt>
                <c:pt idx="7">
                  <c:v>1019.7166666666667</c:v>
                </c:pt>
                <c:pt idx="8">
                  <c:v>1026.9833333333333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21-4589-9BC8-A0338CD98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314423"/>
        <c:axId val="753513"/>
      </c:lineChart>
      <c:catAx>
        <c:axId val="15314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Alpha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3513"/>
        <c:crosses val="autoZero"/>
        <c:auto val="1"/>
        <c:lblAlgn val="ctr"/>
        <c:lblOffset val="100"/>
        <c:noMultiLvlLbl val="0"/>
      </c:catAx>
      <c:valAx>
        <c:axId val="753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Makespan médio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314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Tempo médio (ms) por Alpha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por Alpha'!$C$3</c:f>
              <c:strCache>
                <c:ptCount val="1"/>
                <c:pt idx="0">
                  <c:v>Média Tempo (ms)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'Resumo por Alpha'!$A$4:$A$12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'Resumo por Alpha'!$C$4:$C$12</c:f>
              <c:numCache>
                <c:formatCode>0.00</c:formatCode>
                <c:ptCount val="9"/>
                <c:pt idx="0">
                  <c:v>0.40778333333333339</c:v>
                </c:pt>
                <c:pt idx="1">
                  <c:v>0.40294999999999986</c:v>
                </c:pt>
                <c:pt idx="2">
                  <c:v>0.33109999999999995</c:v>
                </c:pt>
                <c:pt idx="3">
                  <c:v>0.3385999999999999</c:v>
                </c:pt>
                <c:pt idx="4">
                  <c:v>0.37065000000000003</c:v>
                </c:pt>
                <c:pt idx="5">
                  <c:v>0.35499999999999993</c:v>
                </c:pt>
                <c:pt idx="6">
                  <c:v>0.33123333333333327</c:v>
                </c:pt>
                <c:pt idx="7">
                  <c:v>0.32050000000000001</c:v>
                </c:pt>
                <c:pt idx="8">
                  <c:v>0.32478333333333331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8-445B-9185-300152318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28885"/>
        <c:axId val="90698418"/>
      </c:barChart>
      <c:catAx>
        <c:axId val="16128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Alpha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698418"/>
        <c:crosses val="autoZero"/>
        <c:auto val="1"/>
        <c:lblAlgn val="ctr"/>
        <c:lblOffset val="100"/>
        <c:noMultiLvlLbl val="0"/>
      </c:catAx>
      <c:valAx>
        <c:axId val="90698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128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Makespan médio por instância: Primeira Melhora x Monótona (alpha=0.1)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'Comparacao por Instancia'!$C$3</c:f>
              <c:strCache>
                <c:ptCount val="1"/>
                <c:pt idx="0">
                  <c:v>Valor - Primeira Melhora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2060"/>
                    </a:solidFill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Instancia'!$C$4:$C$9</c:f>
              <c:numCache>
                <c:formatCode>0.00</c:formatCode>
                <c:ptCount val="6"/>
                <c:pt idx="0">
                  <c:v>171.5</c:v>
                </c:pt>
                <c:pt idx="1">
                  <c:v>527.70000000000005</c:v>
                </c:pt>
                <c:pt idx="2">
                  <c:v>304.2</c:v>
                </c:pt>
                <c:pt idx="3">
                  <c:v>1253.5</c:v>
                </c:pt>
                <c:pt idx="4">
                  <c:v>583.29999999999995</c:v>
                </c:pt>
                <c:pt idx="5">
                  <c:v>3034.7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9-4AF8-83D4-8A6F3B368505}"/>
            </c:ext>
          </c:extLst>
        </c:ser>
        <c:ser>
          <c:idx val="1"/>
          <c:order val="1"/>
          <c:tx>
            <c:strRef>
              <c:f>'Comparacao por Instancia'!$D$3</c:f>
              <c:strCache>
                <c:ptCount val="1"/>
                <c:pt idx="0">
                  <c:v>Valor - Monótona (a=0.1)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C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Instancia'!$D$4:$D$9</c:f>
              <c:numCache>
                <c:formatCode>0.00</c:formatCode>
                <c:ptCount val="6"/>
                <c:pt idx="0">
                  <c:v>195</c:v>
                </c:pt>
                <c:pt idx="1">
                  <c:v>533.29999999999995</c:v>
                </c:pt>
                <c:pt idx="2">
                  <c:v>294.5</c:v>
                </c:pt>
                <c:pt idx="3">
                  <c:v>1092.0999999999999</c:v>
                </c:pt>
                <c:pt idx="4">
                  <c:v>493.5</c:v>
                </c:pt>
                <c:pt idx="5">
                  <c:v>2829.4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9-4AF8-83D4-8A6F3B368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76679"/>
        <c:axId val="34903325"/>
      </c:barChart>
      <c:catAx>
        <c:axId val="73776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Instância (m, 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4903325"/>
        <c:crosses val="autoZero"/>
        <c:auto val="1"/>
        <c:lblAlgn val="ctr"/>
        <c:lblOffset val="100"/>
        <c:noMultiLvlLbl val="0"/>
      </c:catAx>
      <c:valAx>
        <c:axId val="34903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Makespan médio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3776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Tempo médio (ms) por instância: Primeira Melhora x Monótona (alpha=0.1)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'Comparacao por Instancia'!$E$3</c:f>
              <c:strCache>
                <c:ptCount val="1"/>
                <c:pt idx="0">
                  <c:v>Tempo - Primeira Melhora (ms)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2060"/>
                    </a:solidFill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Instancia'!$E$4:$E$9</c:f>
              <c:numCache>
                <c:formatCode>0.00</c:formatCode>
                <c:ptCount val="6"/>
                <c:pt idx="0">
                  <c:v>6.0000000000000012E-2</c:v>
                </c:pt>
                <c:pt idx="1">
                  <c:v>0.14679999999999999</c:v>
                </c:pt>
                <c:pt idx="2">
                  <c:v>0.54859999999999998</c:v>
                </c:pt>
                <c:pt idx="3">
                  <c:v>1.5487</c:v>
                </c:pt>
                <c:pt idx="4">
                  <c:v>8.5229999999999997</c:v>
                </c:pt>
                <c:pt idx="5">
                  <c:v>47.236599999999996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9-4B47-9E4E-2E487FE43334}"/>
            </c:ext>
          </c:extLst>
        </c:ser>
        <c:ser>
          <c:idx val="1"/>
          <c:order val="1"/>
          <c:tx>
            <c:strRef>
              <c:f>'Comparacao por Instancia'!$F$3</c:f>
              <c:strCache>
                <c:ptCount val="1"/>
                <c:pt idx="0">
                  <c:v>Tempo - Monótona (a=0.1) (ms)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1.305254935816399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0D-4979-8049-56ED45851105}"/>
                </c:ext>
              </c:extLst>
            </c:dLbl>
            <c:dLbl>
              <c:idx val="1"/>
              <c:layout>
                <c:manualLayout>
                  <c:x val="1.118789944985489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0D-4979-8049-56ED45851105}"/>
                </c:ext>
              </c:extLst>
            </c:dLbl>
            <c:dLbl>
              <c:idx val="2"/>
              <c:layout>
                <c:manualLayout>
                  <c:x val="1.11878994498548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0D-4979-8049-56ED45851105}"/>
                </c:ext>
              </c:extLst>
            </c:dLbl>
            <c:dLbl>
              <c:idx val="3"/>
              <c:layout>
                <c:manualLayout>
                  <c:x val="9.323249541545721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0D-4979-8049-56ED45851105}"/>
                </c:ext>
              </c:extLst>
            </c:dLbl>
            <c:dLbl>
              <c:idx val="4"/>
              <c:layout>
                <c:manualLayout>
                  <c:x val="1.1187899449854866E-2"/>
                  <c:y val="-1.437252811187056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0D-4979-8049-56ED45851105}"/>
                </c:ext>
              </c:extLst>
            </c:dLbl>
            <c:dLbl>
              <c:idx val="5"/>
              <c:layout>
                <c:manualLayout>
                  <c:x val="9.3232495415457219E-3"/>
                  <c:y val="-1.437252811187056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0D-4979-8049-56ED45851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C00000"/>
                    </a:solidFill>
                    <a:latin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Instancia'!$F$4:$F$9</c:f>
              <c:numCache>
                <c:formatCode>0.00</c:formatCode>
                <c:ptCount val="6"/>
                <c:pt idx="0">
                  <c:v>0.21669999999999998</c:v>
                </c:pt>
                <c:pt idx="1">
                  <c:v>0.18959999999999999</c:v>
                </c:pt>
                <c:pt idx="2">
                  <c:v>0.29299999999999998</c:v>
                </c:pt>
                <c:pt idx="3">
                  <c:v>0.31179999999999997</c:v>
                </c:pt>
                <c:pt idx="4">
                  <c:v>0.52710000000000001</c:v>
                </c:pt>
                <c:pt idx="5">
                  <c:v>0.90849999999999986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9-4B47-9E4E-2E487FE43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4802"/>
        <c:axId val="38134889"/>
      </c:barChart>
      <c:catAx>
        <c:axId val="1494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Instância (m, 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8134889"/>
        <c:crosses val="autoZero"/>
        <c:auto val="1"/>
        <c:lblAlgn val="ctr"/>
        <c:lblOffset val="100"/>
        <c:noMultiLvlLbl val="0"/>
      </c:catAx>
      <c:valAx>
        <c:axId val="38134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494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Iterações médias por instância: Primeira Melhora x Monótona (alpha=0.1)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'Comparacao por Instancia'!$G$3</c:f>
              <c:strCache>
                <c:ptCount val="1"/>
                <c:pt idx="0">
                  <c:v>Iterações - Primeira Melhora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Instancia'!$G$4:$G$9</c:f>
              <c:numCache>
                <c:formatCode>0.00</c:formatCode>
                <c:ptCount val="6"/>
                <c:pt idx="0">
                  <c:v>1004</c:v>
                </c:pt>
                <c:pt idx="1">
                  <c:v>2717.8</c:v>
                </c:pt>
                <c:pt idx="2">
                  <c:v>5514</c:v>
                </c:pt>
                <c:pt idx="3">
                  <c:v>17036.2</c:v>
                </c:pt>
                <c:pt idx="4">
                  <c:v>43662.5</c:v>
                </c:pt>
                <c:pt idx="5">
                  <c:v>249608.1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C-4B18-9D07-5F410B9825A1}"/>
            </c:ext>
          </c:extLst>
        </c:ser>
        <c:ser>
          <c:idx val="1"/>
          <c:order val="1"/>
          <c:tx>
            <c:strRef>
              <c:f>'Comparacao por Instancia'!$H$3</c:f>
              <c:strCache>
                <c:ptCount val="1"/>
                <c:pt idx="0">
                  <c:v>Iterações - Monótona (a=0.1)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'Comparacao por Instancia'!$B$4:$B$9</c:f>
              <c:numCache>
                <c:formatCode>General</c:formatCode>
                <c:ptCount val="6"/>
                <c:pt idx="0">
                  <c:v>32</c:v>
                </c:pt>
                <c:pt idx="1">
                  <c:v>100</c:v>
                </c:pt>
                <c:pt idx="2">
                  <c:v>89</c:v>
                </c:pt>
                <c:pt idx="3">
                  <c:v>400</c:v>
                </c:pt>
                <c:pt idx="4">
                  <c:v>354</c:v>
                </c:pt>
                <c:pt idx="5">
                  <c:v>2500</c:v>
                </c:pt>
              </c:numCache>
            </c:numRef>
          </c:cat>
          <c:val>
            <c:numRef>
              <c:f>'Comparacao por Instancia'!$H$4:$H$9</c:f>
              <c:numCache>
                <c:formatCode>0.00</c:formatCode>
                <c:ptCount val="6"/>
                <c:pt idx="0">
                  <c:v>1807.4</c:v>
                </c:pt>
                <c:pt idx="1">
                  <c:v>1768.9</c:v>
                </c:pt>
                <c:pt idx="2">
                  <c:v>2067.1999999999998</c:v>
                </c:pt>
                <c:pt idx="3">
                  <c:v>2021.1</c:v>
                </c:pt>
                <c:pt idx="4">
                  <c:v>2184.1999999999998</c:v>
                </c:pt>
                <c:pt idx="5">
                  <c:v>3606.5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C-4B18-9D07-5F410B982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73284"/>
        <c:axId val="53509973"/>
      </c:barChart>
      <c:catAx>
        <c:axId val="48473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Instância (m, 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3509973"/>
        <c:crosses val="autoZero"/>
        <c:auto val="1"/>
        <c:lblAlgn val="ctr"/>
        <c:lblOffset val="100"/>
        <c:noMultiLvlLbl val="0"/>
      </c:catAx>
      <c:valAx>
        <c:axId val="53509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Iterações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8473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10440</xdr:rowOff>
    </xdr:from>
    <xdr:to>
      <xdr:col>3</xdr:col>
      <xdr:colOff>684720</xdr:colOff>
      <xdr:row>23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10080</xdr:rowOff>
    </xdr:from>
    <xdr:to>
      <xdr:col>3</xdr:col>
      <xdr:colOff>684720</xdr:colOff>
      <xdr:row>39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10080</xdr:rowOff>
    </xdr:from>
    <xdr:to>
      <xdr:col>3</xdr:col>
      <xdr:colOff>684720</xdr:colOff>
      <xdr:row>55</xdr:row>
      <xdr:rowOff>32400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160920</xdr:rowOff>
    </xdr:from>
    <xdr:to>
      <xdr:col>3</xdr:col>
      <xdr:colOff>614355</xdr:colOff>
      <xdr:row>29</xdr:row>
      <xdr:rowOff>182880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600075</xdr:colOff>
      <xdr:row>14</xdr:row>
      <xdr:rowOff>160560</xdr:rowOff>
    </xdr:from>
    <xdr:to>
      <xdr:col>11</xdr:col>
      <xdr:colOff>195255</xdr:colOff>
      <xdr:row>29</xdr:row>
      <xdr:rowOff>182880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10080</xdr:rowOff>
    </xdr:from>
    <xdr:to>
      <xdr:col>6</xdr:col>
      <xdr:colOff>10080</xdr:colOff>
      <xdr:row>27</xdr:row>
      <xdr:rowOff>11520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10080</xdr:rowOff>
    </xdr:from>
    <xdr:to>
      <xdr:col>6</xdr:col>
      <xdr:colOff>10080</xdr:colOff>
      <xdr:row>45</xdr:row>
      <xdr:rowOff>11520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9525</xdr:colOff>
      <xdr:row>28</xdr:row>
      <xdr:rowOff>555</xdr:rowOff>
    </xdr:from>
    <xdr:to>
      <xdr:col>15</xdr:col>
      <xdr:colOff>86280</xdr:colOff>
      <xdr:row>45</xdr:row>
      <xdr:rowOff>1995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zoomScaleNormal="100" workbookViewId="0">
      <selection activeCell="A6" sqref="A6"/>
    </sheetView>
  </sheetViews>
  <sheetFormatPr defaultColWidth="8.7109375" defaultRowHeight="15" x14ac:dyDescent="0.25"/>
  <cols>
    <col min="1" max="1" width="107.42578125" bestFit="1" customWidth="1"/>
  </cols>
  <sheetData>
    <row r="1" spans="1:1" ht="18" x14ac:dyDescent="0.25">
      <c r="A1" s="2" t="s">
        <v>0</v>
      </c>
    </row>
    <row r="2" spans="1:1" x14ac:dyDescent="0.25">
      <c r="A2" s="3"/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/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/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/>
    </row>
    <row r="15" spans="1:1" x14ac:dyDescent="0.25">
      <c r="A15" s="3" t="s">
        <v>10</v>
      </c>
    </row>
    <row r="16" spans="1:1" x14ac:dyDescent="0.25">
      <c r="A16" s="3" t="s">
        <v>11</v>
      </c>
    </row>
    <row r="17" spans="1:1" x14ac:dyDescent="0.25">
      <c r="A17" s="3"/>
    </row>
    <row r="18" spans="1:1" x14ac:dyDescent="0.25">
      <c r="A18" s="3" t="s">
        <v>12</v>
      </c>
    </row>
    <row r="19" spans="1:1" x14ac:dyDescent="0.25">
      <c r="A19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1"/>
  <sheetViews>
    <sheetView zoomScaleNormal="100" workbookViewId="0">
      <pane ySplit="1" topLeftCell="A2" activePane="bottomLeft" state="frozen"/>
      <selection pane="bottomLeft" activeCell="I6" sqref="I6"/>
    </sheetView>
  </sheetViews>
  <sheetFormatPr defaultColWidth="8.7109375" defaultRowHeight="15" x14ac:dyDescent="0.25"/>
  <cols>
    <col min="1" max="1" width="22" bestFit="1" customWidth="1"/>
    <col min="2" max="2" width="5" bestFit="1" customWidth="1"/>
    <col min="3" max="3" width="3" bestFit="1" customWidth="1"/>
    <col min="4" max="4" width="11.42578125" bestFit="1" customWidth="1"/>
    <col min="5" max="5" width="7.28515625" bestFit="1" customWidth="1"/>
    <col min="6" max="6" width="10.42578125" bestFit="1" customWidth="1"/>
    <col min="7" max="7" width="6.140625" bestFit="1" customWidth="1"/>
    <col min="8" max="8" width="11.28515625" bestFit="1" customWidth="1"/>
  </cols>
  <sheetData>
    <row r="1" spans="1:8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25">
      <c r="A2" t="s">
        <v>22</v>
      </c>
      <c r="B2">
        <v>32</v>
      </c>
      <c r="C2">
        <v>10</v>
      </c>
      <c r="D2">
        <v>1</v>
      </c>
      <c r="E2">
        <v>0.10100000000000001</v>
      </c>
      <c r="F2">
        <v>1714</v>
      </c>
      <c r="G2">
        <v>160</v>
      </c>
    </row>
    <row r="3" spans="1:8" x14ac:dyDescent="0.25">
      <c r="A3" t="s">
        <v>22</v>
      </c>
      <c r="B3">
        <v>32</v>
      </c>
      <c r="C3">
        <v>10</v>
      </c>
      <c r="D3">
        <v>2</v>
      </c>
      <c r="E3">
        <v>3.2000000000000001E-2</v>
      </c>
      <c r="F3">
        <v>490</v>
      </c>
      <c r="G3">
        <v>172</v>
      </c>
    </row>
    <row r="4" spans="1:8" x14ac:dyDescent="0.25">
      <c r="A4" t="s">
        <v>22</v>
      </c>
      <c r="B4">
        <v>32</v>
      </c>
      <c r="C4">
        <v>10</v>
      </c>
      <c r="D4">
        <v>3</v>
      </c>
      <c r="E4">
        <v>0.11600000000000001</v>
      </c>
      <c r="F4">
        <v>2065</v>
      </c>
      <c r="G4">
        <v>161</v>
      </c>
    </row>
    <row r="5" spans="1:8" x14ac:dyDescent="0.25">
      <c r="A5" t="s">
        <v>22</v>
      </c>
      <c r="B5">
        <v>32</v>
      </c>
      <c r="C5">
        <v>10</v>
      </c>
      <c r="D5">
        <v>4</v>
      </c>
      <c r="E5">
        <v>4.4999999999999998E-2</v>
      </c>
      <c r="F5">
        <v>758</v>
      </c>
      <c r="G5">
        <v>182</v>
      </c>
    </row>
    <row r="6" spans="1:8" x14ac:dyDescent="0.25">
      <c r="A6" t="s">
        <v>22</v>
      </c>
      <c r="B6">
        <v>32</v>
      </c>
      <c r="C6">
        <v>10</v>
      </c>
      <c r="D6">
        <v>5</v>
      </c>
      <c r="E6">
        <v>8.2000000000000003E-2</v>
      </c>
      <c r="F6">
        <v>1417</v>
      </c>
      <c r="G6">
        <v>157</v>
      </c>
    </row>
    <row r="7" spans="1:8" x14ac:dyDescent="0.25">
      <c r="A7" t="s">
        <v>22</v>
      </c>
      <c r="B7">
        <v>32</v>
      </c>
      <c r="C7">
        <v>10</v>
      </c>
      <c r="D7">
        <v>6</v>
      </c>
      <c r="E7">
        <v>4.2999999999999997E-2</v>
      </c>
      <c r="F7">
        <v>667</v>
      </c>
      <c r="G7">
        <v>198</v>
      </c>
    </row>
    <row r="8" spans="1:8" x14ac:dyDescent="0.25">
      <c r="A8" t="s">
        <v>22</v>
      </c>
      <c r="B8">
        <v>32</v>
      </c>
      <c r="C8">
        <v>10</v>
      </c>
      <c r="D8">
        <v>7</v>
      </c>
      <c r="E8">
        <v>6.5000000000000002E-2</v>
      </c>
      <c r="F8">
        <v>1142</v>
      </c>
      <c r="G8">
        <v>161</v>
      </c>
    </row>
    <row r="9" spans="1:8" x14ac:dyDescent="0.25">
      <c r="A9" t="s">
        <v>22</v>
      </c>
      <c r="B9">
        <v>32</v>
      </c>
      <c r="C9">
        <v>10</v>
      </c>
      <c r="D9">
        <v>8</v>
      </c>
      <c r="E9">
        <v>3.6999999999999998E-2</v>
      </c>
      <c r="F9">
        <v>562</v>
      </c>
      <c r="G9">
        <v>191</v>
      </c>
    </row>
    <row r="10" spans="1:8" x14ac:dyDescent="0.25">
      <c r="A10" t="s">
        <v>22</v>
      </c>
      <c r="B10">
        <v>32</v>
      </c>
      <c r="C10">
        <v>10</v>
      </c>
      <c r="D10">
        <v>9</v>
      </c>
      <c r="E10">
        <v>0.03</v>
      </c>
      <c r="F10">
        <v>477</v>
      </c>
      <c r="G10">
        <v>164</v>
      </c>
    </row>
    <row r="11" spans="1:8" x14ac:dyDescent="0.25">
      <c r="A11" t="s">
        <v>22</v>
      </c>
      <c r="B11">
        <v>32</v>
      </c>
      <c r="C11">
        <v>10</v>
      </c>
      <c r="D11">
        <v>10</v>
      </c>
      <c r="E11">
        <v>4.9000000000000002E-2</v>
      </c>
      <c r="F11">
        <v>748</v>
      </c>
      <c r="G11">
        <v>169</v>
      </c>
    </row>
    <row r="12" spans="1:8" x14ac:dyDescent="0.25">
      <c r="A12" t="s">
        <v>22</v>
      </c>
      <c r="B12">
        <v>100</v>
      </c>
      <c r="C12">
        <v>10</v>
      </c>
      <c r="D12">
        <v>1</v>
      </c>
      <c r="E12">
        <v>0.104</v>
      </c>
      <c r="F12">
        <v>1858</v>
      </c>
      <c r="G12">
        <v>590</v>
      </c>
    </row>
    <row r="13" spans="1:8" x14ac:dyDescent="0.25">
      <c r="A13" t="s">
        <v>22</v>
      </c>
      <c r="B13">
        <v>100</v>
      </c>
      <c r="C13">
        <v>10</v>
      </c>
      <c r="D13">
        <v>2</v>
      </c>
      <c r="E13">
        <v>7.3999999999999996E-2</v>
      </c>
      <c r="F13">
        <v>1356</v>
      </c>
      <c r="G13">
        <v>609</v>
      </c>
    </row>
    <row r="14" spans="1:8" x14ac:dyDescent="0.25">
      <c r="A14" t="s">
        <v>22</v>
      </c>
      <c r="B14">
        <v>100</v>
      </c>
      <c r="C14">
        <v>10</v>
      </c>
      <c r="D14">
        <v>3</v>
      </c>
      <c r="E14">
        <v>0.19700000000000001</v>
      </c>
      <c r="F14">
        <v>3769</v>
      </c>
      <c r="G14">
        <v>471</v>
      </c>
    </row>
    <row r="15" spans="1:8" x14ac:dyDescent="0.25">
      <c r="A15" t="s">
        <v>22</v>
      </c>
      <c r="B15">
        <v>100</v>
      </c>
      <c r="C15">
        <v>10</v>
      </c>
      <c r="D15">
        <v>4</v>
      </c>
      <c r="E15">
        <v>0.159</v>
      </c>
      <c r="F15">
        <v>2770</v>
      </c>
      <c r="G15">
        <v>484</v>
      </c>
    </row>
    <row r="16" spans="1:8" x14ac:dyDescent="0.25">
      <c r="A16" t="s">
        <v>22</v>
      </c>
      <c r="B16">
        <v>100</v>
      </c>
      <c r="C16">
        <v>10</v>
      </c>
      <c r="D16">
        <v>5</v>
      </c>
      <c r="E16">
        <v>0.10100000000000001</v>
      </c>
      <c r="F16">
        <v>1901</v>
      </c>
      <c r="G16">
        <v>593</v>
      </c>
    </row>
    <row r="17" spans="1:7" x14ac:dyDescent="0.25">
      <c r="A17" t="s">
        <v>22</v>
      </c>
      <c r="B17">
        <v>100</v>
      </c>
      <c r="C17">
        <v>10</v>
      </c>
      <c r="D17">
        <v>6</v>
      </c>
      <c r="E17">
        <v>0.11700000000000001</v>
      </c>
      <c r="F17">
        <v>2263</v>
      </c>
      <c r="G17">
        <v>582</v>
      </c>
    </row>
    <row r="18" spans="1:7" x14ac:dyDescent="0.25">
      <c r="A18" t="s">
        <v>22</v>
      </c>
      <c r="B18">
        <v>100</v>
      </c>
      <c r="C18">
        <v>10</v>
      </c>
      <c r="D18">
        <v>7</v>
      </c>
      <c r="E18">
        <v>0.115</v>
      </c>
      <c r="F18">
        <v>2028</v>
      </c>
      <c r="G18">
        <v>502</v>
      </c>
    </row>
    <row r="19" spans="1:7" x14ac:dyDescent="0.25">
      <c r="A19" t="s">
        <v>22</v>
      </c>
      <c r="B19">
        <v>100</v>
      </c>
      <c r="C19">
        <v>10</v>
      </c>
      <c r="D19">
        <v>8</v>
      </c>
      <c r="E19">
        <v>0.13200000000000001</v>
      </c>
      <c r="F19">
        <v>2452</v>
      </c>
      <c r="G19">
        <v>504</v>
      </c>
    </row>
    <row r="20" spans="1:7" x14ac:dyDescent="0.25">
      <c r="A20" t="s">
        <v>22</v>
      </c>
      <c r="B20">
        <v>100</v>
      </c>
      <c r="C20">
        <v>10</v>
      </c>
      <c r="D20">
        <v>9</v>
      </c>
      <c r="E20">
        <v>0.32700000000000001</v>
      </c>
      <c r="F20">
        <v>6224</v>
      </c>
      <c r="G20">
        <v>464</v>
      </c>
    </row>
    <row r="21" spans="1:7" x14ac:dyDescent="0.25">
      <c r="A21" t="s">
        <v>22</v>
      </c>
      <c r="B21">
        <v>100</v>
      </c>
      <c r="C21">
        <v>10</v>
      </c>
      <c r="D21">
        <v>10</v>
      </c>
      <c r="E21">
        <v>0.14199999999999999</v>
      </c>
      <c r="F21">
        <v>2557</v>
      </c>
      <c r="G21">
        <v>478</v>
      </c>
    </row>
    <row r="22" spans="1:7" x14ac:dyDescent="0.25">
      <c r="A22" t="s">
        <v>22</v>
      </c>
      <c r="B22">
        <v>89</v>
      </c>
      <c r="C22">
        <v>20</v>
      </c>
      <c r="D22">
        <v>1</v>
      </c>
      <c r="E22">
        <v>0.55500000000000005</v>
      </c>
      <c r="F22">
        <v>6235</v>
      </c>
      <c r="G22">
        <v>292</v>
      </c>
    </row>
    <row r="23" spans="1:7" x14ac:dyDescent="0.25">
      <c r="A23" t="s">
        <v>22</v>
      </c>
      <c r="B23">
        <v>89</v>
      </c>
      <c r="C23">
        <v>20</v>
      </c>
      <c r="D23">
        <v>2</v>
      </c>
      <c r="E23">
        <v>0.73</v>
      </c>
      <c r="F23">
        <v>6604</v>
      </c>
      <c r="G23">
        <v>314</v>
      </c>
    </row>
    <row r="24" spans="1:7" x14ac:dyDescent="0.25">
      <c r="A24" t="s">
        <v>22</v>
      </c>
      <c r="B24">
        <v>89</v>
      </c>
      <c r="C24">
        <v>20</v>
      </c>
      <c r="D24">
        <v>3</v>
      </c>
      <c r="E24">
        <v>0.60499999999999998</v>
      </c>
      <c r="F24">
        <v>5331</v>
      </c>
      <c r="G24">
        <v>288</v>
      </c>
    </row>
    <row r="25" spans="1:7" x14ac:dyDescent="0.25">
      <c r="A25" t="s">
        <v>22</v>
      </c>
      <c r="B25">
        <v>89</v>
      </c>
      <c r="C25">
        <v>20</v>
      </c>
      <c r="D25">
        <v>4</v>
      </c>
      <c r="E25">
        <v>0.36299999999999999</v>
      </c>
      <c r="F25">
        <v>3912</v>
      </c>
      <c r="G25">
        <v>328</v>
      </c>
    </row>
    <row r="26" spans="1:7" x14ac:dyDescent="0.25">
      <c r="A26" t="s">
        <v>22</v>
      </c>
      <c r="B26">
        <v>89</v>
      </c>
      <c r="C26">
        <v>20</v>
      </c>
      <c r="D26">
        <v>5</v>
      </c>
      <c r="E26">
        <v>0.23400000000000001</v>
      </c>
      <c r="F26">
        <v>2693</v>
      </c>
      <c r="G26">
        <v>440</v>
      </c>
    </row>
    <row r="27" spans="1:7" x14ac:dyDescent="0.25">
      <c r="A27" t="s">
        <v>22</v>
      </c>
      <c r="B27">
        <v>89</v>
      </c>
      <c r="C27">
        <v>20</v>
      </c>
      <c r="D27">
        <v>6</v>
      </c>
      <c r="E27">
        <v>0.59799999999999998</v>
      </c>
      <c r="F27">
        <v>6543</v>
      </c>
      <c r="G27">
        <v>250</v>
      </c>
    </row>
    <row r="28" spans="1:7" x14ac:dyDescent="0.25">
      <c r="A28" t="s">
        <v>22</v>
      </c>
      <c r="B28">
        <v>89</v>
      </c>
      <c r="C28">
        <v>20</v>
      </c>
      <c r="D28">
        <v>7</v>
      </c>
      <c r="E28">
        <v>0.71199999999999997</v>
      </c>
      <c r="F28">
        <v>7945</v>
      </c>
      <c r="G28">
        <v>278</v>
      </c>
    </row>
    <row r="29" spans="1:7" x14ac:dyDescent="0.25">
      <c r="A29" t="s">
        <v>22</v>
      </c>
      <c r="B29">
        <v>89</v>
      </c>
      <c r="C29">
        <v>20</v>
      </c>
      <c r="D29">
        <v>8</v>
      </c>
      <c r="E29">
        <v>0.56100000000000005</v>
      </c>
      <c r="F29">
        <v>5869</v>
      </c>
      <c r="G29">
        <v>301</v>
      </c>
    </row>
    <row r="30" spans="1:7" x14ac:dyDescent="0.25">
      <c r="A30" t="s">
        <v>22</v>
      </c>
      <c r="B30">
        <v>89</v>
      </c>
      <c r="C30">
        <v>20</v>
      </c>
      <c r="D30">
        <v>9</v>
      </c>
      <c r="E30">
        <v>0.42099999999999999</v>
      </c>
      <c r="F30">
        <v>3557</v>
      </c>
      <c r="G30">
        <v>285</v>
      </c>
    </row>
    <row r="31" spans="1:7" x14ac:dyDescent="0.25">
      <c r="A31" t="s">
        <v>22</v>
      </c>
      <c r="B31">
        <v>89</v>
      </c>
      <c r="C31">
        <v>20</v>
      </c>
      <c r="D31">
        <v>10</v>
      </c>
      <c r="E31">
        <v>0.70699999999999996</v>
      </c>
      <c r="F31">
        <v>6451</v>
      </c>
      <c r="G31">
        <v>266</v>
      </c>
    </row>
    <row r="32" spans="1:7" x14ac:dyDescent="0.25">
      <c r="A32" t="s">
        <v>22</v>
      </c>
      <c r="B32">
        <v>400</v>
      </c>
      <c r="C32">
        <v>20</v>
      </c>
      <c r="D32">
        <v>1</v>
      </c>
      <c r="E32">
        <v>2.032</v>
      </c>
      <c r="F32">
        <v>22022</v>
      </c>
      <c r="G32">
        <v>1142</v>
      </c>
    </row>
    <row r="33" spans="1:7" x14ac:dyDescent="0.25">
      <c r="A33" t="s">
        <v>22</v>
      </c>
      <c r="B33">
        <v>400</v>
      </c>
      <c r="C33">
        <v>20</v>
      </c>
      <c r="D33">
        <v>2</v>
      </c>
      <c r="E33">
        <v>0.88400000000000001</v>
      </c>
      <c r="F33">
        <v>10859</v>
      </c>
      <c r="G33">
        <v>1340</v>
      </c>
    </row>
    <row r="34" spans="1:7" x14ac:dyDescent="0.25">
      <c r="A34" t="s">
        <v>22</v>
      </c>
      <c r="B34">
        <v>400</v>
      </c>
      <c r="C34">
        <v>20</v>
      </c>
      <c r="D34">
        <v>3</v>
      </c>
      <c r="E34">
        <v>1.8720000000000001</v>
      </c>
      <c r="F34">
        <v>15574</v>
      </c>
      <c r="G34">
        <v>1418</v>
      </c>
    </row>
    <row r="35" spans="1:7" x14ac:dyDescent="0.25">
      <c r="A35" t="s">
        <v>22</v>
      </c>
      <c r="B35">
        <v>400</v>
      </c>
      <c r="C35">
        <v>20</v>
      </c>
      <c r="D35">
        <v>4</v>
      </c>
      <c r="E35">
        <v>1.9379999999999999</v>
      </c>
      <c r="F35">
        <v>21173</v>
      </c>
      <c r="G35">
        <v>1201</v>
      </c>
    </row>
    <row r="36" spans="1:7" x14ac:dyDescent="0.25">
      <c r="A36" t="s">
        <v>22</v>
      </c>
      <c r="B36">
        <v>400</v>
      </c>
      <c r="C36">
        <v>20</v>
      </c>
      <c r="D36">
        <v>5</v>
      </c>
      <c r="E36">
        <v>1.1779999999999999</v>
      </c>
      <c r="F36">
        <v>13768</v>
      </c>
      <c r="G36">
        <v>1133</v>
      </c>
    </row>
    <row r="37" spans="1:7" x14ac:dyDescent="0.25">
      <c r="A37" t="s">
        <v>22</v>
      </c>
      <c r="B37">
        <v>400</v>
      </c>
      <c r="C37">
        <v>20</v>
      </c>
      <c r="D37">
        <v>6</v>
      </c>
      <c r="E37">
        <v>1.006</v>
      </c>
      <c r="F37">
        <v>12420</v>
      </c>
      <c r="G37">
        <v>1299</v>
      </c>
    </row>
    <row r="38" spans="1:7" x14ac:dyDescent="0.25">
      <c r="A38" t="s">
        <v>22</v>
      </c>
      <c r="B38">
        <v>400</v>
      </c>
      <c r="C38">
        <v>20</v>
      </c>
      <c r="D38">
        <v>7</v>
      </c>
      <c r="E38">
        <v>1.974</v>
      </c>
      <c r="F38">
        <v>20538</v>
      </c>
      <c r="G38">
        <v>1206</v>
      </c>
    </row>
    <row r="39" spans="1:7" x14ac:dyDescent="0.25">
      <c r="A39" t="s">
        <v>22</v>
      </c>
      <c r="B39">
        <v>400</v>
      </c>
      <c r="C39">
        <v>20</v>
      </c>
      <c r="D39">
        <v>8</v>
      </c>
      <c r="E39">
        <v>2.3889999999999998</v>
      </c>
      <c r="F39">
        <v>28123</v>
      </c>
      <c r="G39">
        <v>1224</v>
      </c>
    </row>
    <row r="40" spans="1:7" x14ac:dyDescent="0.25">
      <c r="A40" t="s">
        <v>22</v>
      </c>
      <c r="B40">
        <v>400</v>
      </c>
      <c r="C40">
        <v>20</v>
      </c>
      <c r="D40">
        <v>9</v>
      </c>
      <c r="E40">
        <v>1.2310000000000001</v>
      </c>
      <c r="F40">
        <v>14276</v>
      </c>
      <c r="G40">
        <v>1233</v>
      </c>
    </row>
    <row r="41" spans="1:7" x14ac:dyDescent="0.25">
      <c r="A41" t="s">
        <v>22</v>
      </c>
      <c r="B41">
        <v>400</v>
      </c>
      <c r="C41">
        <v>20</v>
      </c>
      <c r="D41">
        <v>10</v>
      </c>
      <c r="E41">
        <v>0.98299999999999998</v>
      </c>
      <c r="F41">
        <v>11609</v>
      </c>
      <c r="G41">
        <v>1339</v>
      </c>
    </row>
    <row r="42" spans="1:7" x14ac:dyDescent="0.25">
      <c r="A42" t="s">
        <v>22</v>
      </c>
      <c r="B42">
        <v>354</v>
      </c>
      <c r="C42">
        <v>50</v>
      </c>
      <c r="D42">
        <v>1</v>
      </c>
      <c r="E42">
        <v>13.366</v>
      </c>
      <c r="F42">
        <v>64665</v>
      </c>
      <c r="G42">
        <v>547</v>
      </c>
    </row>
    <row r="43" spans="1:7" x14ac:dyDescent="0.25">
      <c r="A43" t="s">
        <v>22</v>
      </c>
      <c r="B43">
        <v>354</v>
      </c>
      <c r="C43">
        <v>50</v>
      </c>
      <c r="D43">
        <v>2</v>
      </c>
      <c r="E43">
        <v>7.5659999999999998</v>
      </c>
      <c r="F43">
        <v>37689</v>
      </c>
      <c r="G43">
        <v>634</v>
      </c>
    </row>
    <row r="44" spans="1:7" x14ac:dyDescent="0.25">
      <c r="A44" t="s">
        <v>22</v>
      </c>
      <c r="B44">
        <v>354</v>
      </c>
      <c r="C44">
        <v>50</v>
      </c>
      <c r="D44">
        <v>3</v>
      </c>
      <c r="E44">
        <v>7.2670000000000003</v>
      </c>
      <c r="F44">
        <v>37203</v>
      </c>
      <c r="G44">
        <v>579</v>
      </c>
    </row>
    <row r="45" spans="1:7" x14ac:dyDescent="0.25">
      <c r="A45" t="s">
        <v>22</v>
      </c>
      <c r="B45">
        <v>354</v>
      </c>
      <c r="C45">
        <v>50</v>
      </c>
      <c r="D45">
        <v>4</v>
      </c>
      <c r="E45">
        <v>5.8209999999999997</v>
      </c>
      <c r="F45">
        <v>27602</v>
      </c>
      <c r="G45">
        <v>655</v>
      </c>
    </row>
    <row r="46" spans="1:7" x14ac:dyDescent="0.25">
      <c r="A46" t="s">
        <v>22</v>
      </c>
      <c r="B46">
        <v>354</v>
      </c>
      <c r="C46">
        <v>50</v>
      </c>
      <c r="D46">
        <v>5</v>
      </c>
      <c r="E46">
        <v>4.3890000000000002</v>
      </c>
      <c r="F46">
        <v>22944</v>
      </c>
      <c r="G46">
        <v>535</v>
      </c>
    </row>
    <row r="47" spans="1:7" x14ac:dyDescent="0.25">
      <c r="A47" t="s">
        <v>22</v>
      </c>
      <c r="B47">
        <v>354</v>
      </c>
      <c r="C47">
        <v>50</v>
      </c>
      <c r="D47">
        <v>6</v>
      </c>
      <c r="E47">
        <v>6.335</v>
      </c>
      <c r="F47">
        <v>32640</v>
      </c>
      <c r="G47">
        <v>579</v>
      </c>
    </row>
    <row r="48" spans="1:7" x14ac:dyDescent="0.25">
      <c r="A48" t="s">
        <v>22</v>
      </c>
      <c r="B48">
        <v>354</v>
      </c>
      <c r="C48">
        <v>50</v>
      </c>
      <c r="D48">
        <v>7</v>
      </c>
      <c r="E48">
        <v>8.0399999999999991</v>
      </c>
      <c r="F48">
        <v>41297</v>
      </c>
      <c r="G48">
        <v>590</v>
      </c>
    </row>
    <row r="49" spans="1:8" x14ac:dyDescent="0.25">
      <c r="A49" t="s">
        <v>22</v>
      </c>
      <c r="B49">
        <v>354</v>
      </c>
      <c r="C49">
        <v>50</v>
      </c>
      <c r="D49">
        <v>8</v>
      </c>
      <c r="E49">
        <v>14.637</v>
      </c>
      <c r="F49">
        <v>78425</v>
      </c>
      <c r="G49">
        <v>528</v>
      </c>
    </row>
    <row r="50" spans="1:8" x14ac:dyDescent="0.25">
      <c r="A50" t="s">
        <v>22</v>
      </c>
      <c r="B50">
        <v>354</v>
      </c>
      <c r="C50">
        <v>50</v>
      </c>
      <c r="D50">
        <v>9</v>
      </c>
      <c r="E50">
        <v>10.994999999999999</v>
      </c>
      <c r="F50">
        <v>58669</v>
      </c>
      <c r="G50">
        <v>582</v>
      </c>
    </row>
    <row r="51" spans="1:8" x14ac:dyDescent="0.25">
      <c r="A51" t="s">
        <v>22</v>
      </c>
      <c r="B51">
        <v>354</v>
      </c>
      <c r="C51">
        <v>50</v>
      </c>
      <c r="D51">
        <v>10</v>
      </c>
      <c r="E51">
        <v>6.8140000000000001</v>
      </c>
      <c r="F51">
        <v>35491</v>
      </c>
      <c r="G51">
        <v>604</v>
      </c>
    </row>
    <row r="52" spans="1:8" x14ac:dyDescent="0.25">
      <c r="A52" t="s">
        <v>22</v>
      </c>
      <c r="B52">
        <v>2500</v>
      </c>
      <c r="C52">
        <v>50</v>
      </c>
      <c r="D52">
        <v>1</v>
      </c>
      <c r="E52">
        <v>67.456000000000003</v>
      </c>
      <c r="F52">
        <v>362556</v>
      </c>
      <c r="G52">
        <v>3089</v>
      </c>
    </row>
    <row r="53" spans="1:8" x14ac:dyDescent="0.25">
      <c r="A53" t="s">
        <v>22</v>
      </c>
      <c r="B53">
        <v>2500</v>
      </c>
      <c r="C53">
        <v>50</v>
      </c>
      <c r="D53">
        <v>2</v>
      </c>
      <c r="E53">
        <v>37.302</v>
      </c>
      <c r="F53">
        <v>202463</v>
      </c>
      <c r="G53">
        <v>3072</v>
      </c>
    </row>
    <row r="54" spans="1:8" x14ac:dyDescent="0.25">
      <c r="A54" t="s">
        <v>22</v>
      </c>
      <c r="B54">
        <v>2500</v>
      </c>
      <c r="C54">
        <v>50</v>
      </c>
      <c r="D54">
        <v>3</v>
      </c>
      <c r="E54">
        <v>29.547000000000001</v>
      </c>
      <c r="F54">
        <v>153242</v>
      </c>
      <c r="G54">
        <v>3007</v>
      </c>
    </row>
    <row r="55" spans="1:8" x14ac:dyDescent="0.25">
      <c r="A55" t="s">
        <v>22</v>
      </c>
      <c r="B55">
        <v>2500</v>
      </c>
      <c r="C55">
        <v>50</v>
      </c>
      <c r="D55">
        <v>4</v>
      </c>
      <c r="E55">
        <v>40.104999999999997</v>
      </c>
      <c r="F55">
        <v>192010</v>
      </c>
      <c r="G55">
        <v>2995</v>
      </c>
    </row>
    <row r="56" spans="1:8" x14ac:dyDescent="0.25">
      <c r="A56" t="s">
        <v>22</v>
      </c>
      <c r="B56">
        <v>2500</v>
      </c>
      <c r="C56">
        <v>50</v>
      </c>
      <c r="D56">
        <v>5</v>
      </c>
      <c r="E56">
        <v>42.859000000000002</v>
      </c>
      <c r="F56">
        <v>219787</v>
      </c>
      <c r="G56">
        <v>3106</v>
      </c>
    </row>
    <row r="57" spans="1:8" x14ac:dyDescent="0.25">
      <c r="A57" t="s">
        <v>22</v>
      </c>
      <c r="B57">
        <v>2500</v>
      </c>
      <c r="C57">
        <v>50</v>
      </c>
      <c r="D57">
        <v>6</v>
      </c>
      <c r="E57">
        <v>39.334000000000003</v>
      </c>
      <c r="F57">
        <v>210189</v>
      </c>
      <c r="G57">
        <v>3022</v>
      </c>
    </row>
    <row r="58" spans="1:8" x14ac:dyDescent="0.25">
      <c r="A58" t="s">
        <v>22</v>
      </c>
      <c r="B58">
        <v>2500</v>
      </c>
      <c r="C58">
        <v>50</v>
      </c>
      <c r="D58">
        <v>7</v>
      </c>
      <c r="E58">
        <v>76.495999999999995</v>
      </c>
      <c r="F58">
        <v>412035</v>
      </c>
      <c r="G58">
        <v>2971</v>
      </c>
    </row>
    <row r="59" spans="1:8" x14ac:dyDescent="0.25">
      <c r="A59" t="s">
        <v>22</v>
      </c>
      <c r="B59">
        <v>2500</v>
      </c>
      <c r="C59">
        <v>50</v>
      </c>
      <c r="D59">
        <v>8</v>
      </c>
      <c r="E59">
        <v>55.667000000000002</v>
      </c>
      <c r="F59">
        <v>295532</v>
      </c>
      <c r="G59">
        <v>2992</v>
      </c>
    </row>
    <row r="60" spans="1:8" x14ac:dyDescent="0.25">
      <c r="A60" t="s">
        <v>22</v>
      </c>
      <c r="B60">
        <v>2500</v>
      </c>
      <c r="C60">
        <v>50</v>
      </c>
      <c r="D60">
        <v>9</v>
      </c>
      <c r="E60">
        <v>32.975000000000001</v>
      </c>
      <c r="F60">
        <v>174217</v>
      </c>
      <c r="G60">
        <v>3102</v>
      </c>
    </row>
    <row r="61" spans="1:8" x14ac:dyDescent="0.25">
      <c r="A61" t="s">
        <v>22</v>
      </c>
      <c r="B61">
        <v>2500</v>
      </c>
      <c r="C61">
        <v>50</v>
      </c>
      <c r="D61">
        <v>10</v>
      </c>
      <c r="E61">
        <v>50.625</v>
      </c>
      <c r="F61">
        <v>274050</v>
      </c>
      <c r="G61">
        <v>2991</v>
      </c>
    </row>
    <row r="62" spans="1:8" x14ac:dyDescent="0.25">
      <c r="A62" t="s">
        <v>23</v>
      </c>
      <c r="B62">
        <v>32</v>
      </c>
      <c r="C62">
        <v>10</v>
      </c>
      <c r="D62">
        <v>1</v>
      </c>
      <c r="E62">
        <v>0.23</v>
      </c>
      <c r="F62">
        <v>1550</v>
      </c>
      <c r="G62">
        <v>197</v>
      </c>
      <c r="H62">
        <v>0.1</v>
      </c>
    </row>
    <row r="63" spans="1:8" x14ac:dyDescent="0.25">
      <c r="A63" t="s">
        <v>23</v>
      </c>
      <c r="B63">
        <v>32</v>
      </c>
      <c r="C63">
        <v>10</v>
      </c>
      <c r="D63">
        <v>2</v>
      </c>
      <c r="E63">
        <v>0.23200000000000001</v>
      </c>
      <c r="F63">
        <v>1618</v>
      </c>
      <c r="G63">
        <v>196</v>
      </c>
      <c r="H63">
        <v>0.1</v>
      </c>
    </row>
    <row r="64" spans="1:8" x14ac:dyDescent="0.25">
      <c r="A64" t="s">
        <v>23</v>
      </c>
      <c r="B64">
        <v>32</v>
      </c>
      <c r="C64">
        <v>10</v>
      </c>
      <c r="D64">
        <v>3</v>
      </c>
      <c r="E64">
        <v>0.17100000000000001</v>
      </c>
      <c r="F64">
        <v>1643</v>
      </c>
      <c r="G64">
        <v>198</v>
      </c>
      <c r="H64">
        <v>0.1</v>
      </c>
    </row>
    <row r="65" spans="1:8" x14ac:dyDescent="0.25">
      <c r="A65" t="s">
        <v>23</v>
      </c>
      <c r="B65">
        <v>32</v>
      </c>
      <c r="C65">
        <v>10</v>
      </c>
      <c r="D65">
        <v>4</v>
      </c>
      <c r="E65">
        <v>0.28899999999999998</v>
      </c>
      <c r="F65">
        <v>2005</v>
      </c>
      <c r="G65">
        <v>196</v>
      </c>
      <c r="H65">
        <v>0.1</v>
      </c>
    </row>
    <row r="66" spans="1:8" x14ac:dyDescent="0.25">
      <c r="A66" t="s">
        <v>23</v>
      </c>
      <c r="B66">
        <v>32</v>
      </c>
      <c r="C66">
        <v>10</v>
      </c>
      <c r="D66">
        <v>5</v>
      </c>
      <c r="E66">
        <v>0.19600000000000001</v>
      </c>
      <c r="F66">
        <v>1707</v>
      </c>
      <c r="G66">
        <v>193</v>
      </c>
      <c r="H66">
        <v>0.1</v>
      </c>
    </row>
    <row r="67" spans="1:8" x14ac:dyDescent="0.25">
      <c r="A67" t="s">
        <v>23</v>
      </c>
      <c r="B67">
        <v>32</v>
      </c>
      <c r="C67">
        <v>10</v>
      </c>
      <c r="D67">
        <v>6</v>
      </c>
      <c r="E67">
        <v>0.184</v>
      </c>
      <c r="F67">
        <v>1759</v>
      </c>
      <c r="G67">
        <v>193</v>
      </c>
      <c r="H67">
        <v>0.1</v>
      </c>
    </row>
    <row r="68" spans="1:8" x14ac:dyDescent="0.25">
      <c r="A68" t="s">
        <v>23</v>
      </c>
      <c r="B68">
        <v>32</v>
      </c>
      <c r="C68">
        <v>10</v>
      </c>
      <c r="D68">
        <v>7</v>
      </c>
      <c r="E68">
        <v>0.20799999999999999</v>
      </c>
      <c r="F68">
        <v>1664</v>
      </c>
      <c r="G68">
        <v>202</v>
      </c>
      <c r="H68">
        <v>0.1</v>
      </c>
    </row>
    <row r="69" spans="1:8" x14ac:dyDescent="0.25">
      <c r="A69" t="s">
        <v>23</v>
      </c>
      <c r="B69">
        <v>32</v>
      </c>
      <c r="C69">
        <v>10</v>
      </c>
      <c r="D69">
        <v>8</v>
      </c>
      <c r="E69">
        <v>0.28799999999999998</v>
      </c>
      <c r="F69">
        <v>2730</v>
      </c>
      <c r="G69">
        <v>188</v>
      </c>
      <c r="H69">
        <v>0.1</v>
      </c>
    </row>
    <row r="70" spans="1:8" x14ac:dyDescent="0.25">
      <c r="A70" t="s">
        <v>23</v>
      </c>
      <c r="B70">
        <v>32</v>
      </c>
      <c r="C70">
        <v>10</v>
      </c>
      <c r="D70">
        <v>9</v>
      </c>
      <c r="E70">
        <v>0.252</v>
      </c>
      <c r="F70">
        <v>2260</v>
      </c>
      <c r="G70">
        <v>186</v>
      </c>
      <c r="H70">
        <v>0.1</v>
      </c>
    </row>
    <row r="71" spans="1:8" x14ac:dyDescent="0.25">
      <c r="A71" t="s">
        <v>23</v>
      </c>
      <c r="B71">
        <v>32</v>
      </c>
      <c r="C71">
        <v>10</v>
      </c>
      <c r="D71">
        <v>10</v>
      </c>
      <c r="E71">
        <v>0.11700000000000001</v>
      </c>
      <c r="F71">
        <v>1138</v>
      </c>
      <c r="G71">
        <v>201</v>
      </c>
      <c r="H71">
        <v>0.1</v>
      </c>
    </row>
    <row r="72" spans="1:8" x14ac:dyDescent="0.25">
      <c r="A72" t="s">
        <v>23</v>
      </c>
      <c r="B72">
        <v>32</v>
      </c>
      <c r="C72">
        <v>10</v>
      </c>
      <c r="D72">
        <v>1</v>
      </c>
      <c r="E72">
        <v>0.26300000000000001</v>
      </c>
      <c r="F72">
        <v>1760</v>
      </c>
      <c r="G72">
        <v>196</v>
      </c>
      <c r="H72">
        <v>0.2</v>
      </c>
    </row>
    <row r="73" spans="1:8" x14ac:dyDescent="0.25">
      <c r="A73" t="s">
        <v>23</v>
      </c>
      <c r="B73">
        <v>32</v>
      </c>
      <c r="C73">
        <v>10</v>
      </c>
      <c r="D73">
        <v>2</v>
      </c>
      <c r="E73">
        <v>0.154</v>
      </c>
      <c r="F73">
        <v>1105</v>
      </c>
      <c r="G73">
        <v>208</v>
      </c>
      <c r="H73">
        <v>0.2</v>
      </c>
    </row>
    <row r="74" spans="1:8" x14ac:dyDescent="0.25">
      <c r="A74" t="s">
        <v>23</v>
      </c>
      <c r="B74">
        <v>32</v>
      </c>
      <c r="C74">
        <v>10</v>
      </c>
      <c r="D74">
        <v>3</v>
      </c>
      <c r="E74">
        <v>0.16700000000000001</v>
      </c>
      <c r="F74">
        <v>1588</v>
      </c>
      <c r="G74">
        <v>204</v>
      </c>
      <c r="H74">
        <v>0.2</v>
      </c>
    </row>
    <row r="75" spans="1:8" x14ac:dyDescent="0.25">
      <c r="A75" t="s">
        <v>23</v>
      </c>
      <c r="B75">
        <v>32</v>
      </c>
      <c r="C75">
        <v>10</v>
      </c>
      <c r="D75">
        <v>4</v>
      </c>
      <c r="E75">
        <v>0.14799999999999999</v>
      </c>
      <c r="F75">
        <v>1414</v>
      </c>
      <c r="G75">
        <v>210</v>
      </c>
      <c r="H75">
        <v>0.2</v>
      </c>
    </row>
    <row r="76" spans="1:8" x14ac:dyDescent="0.25">
      <c r="A76" t="s">
        <v>23</v>
      </c>
      <c r="B76">
        <v>32</v>
      </c>
      <c r="C76">
        <v>10</v>
      </c>
      <c r="D76">
        <v>5</v>
      </c>
      <c r="E76">
        <v>0.128</v>
      </c>
      <c r="F76">
        <v>1219</v>
      </c>
      <c r="G76">
        <v>205</v>
      </c>
      <c r="H76">
        <v>0.2</v>
      </c>
    </row>
    <row r="77" spans="1:8" x14ac:dyDescent="0.25">
      <c r="A77" t="s">
        <v>23</v>
      </c>
      <c r="B77">
        <v>32</v>
      </c>
      <c r="C77">
        <v>10</v>
      </c>
      <c r="D77">
        <v>6</v>
      </c>
      <c r="E77">
        <v>0.108</v>
      </c>
      <c r="F77">
        <v>1042</v>
      </c>
      <c r="G77">
        <v>212</v>
      </c>
      <c r="H77">
        <v>0.2</v>
      </c>
    </row>
    <row r="78" spans="1:8" x14ac:dyDescent="0.25">
      <c r="A78" t="s">
        <v>23</v>
      </c>
      <c r="B78">
        <v>32</v>
      </c>
      <c r="C78">
        <v>10</v>
      </c>
      <c r="D78">
        <v>7</v>
      </c>
      <c r="E78">
        <v>0.123</v>
      </c>
      <c r="F78">
        <v>1185</v>
      </c>
      <c r="G78">
        <v>200</v>
      </c>
      <c r="H78">
        <v>0.2</v>
      </c>
    </row>
    <row r="79" spans="1:8" x14ac:dyDescent="0.25">
      <c r="A79" t="s">
        <v>23</v>
      </c>
      <c r="B79">
        <v>32</v>
      </c>
      <c r="C79">
        <v>10</v>
      </c>
      <c r="D79">
        <v>8</v>
      </c>
      <c r="E79">
        <v>0.16600000000000001</v>
      </c>
      <c r="F79">
        <v>1617</v>
      </c>
      <c r="G79">
        <v>185</v>
      </c>
      <c r="H79">
        <v>0.2</v>
      </c>
    </row>
    <row r="80" spans="1:8" x14ac:dyDescent="0.25">
      <c r="A80" t="s">
        <v>23</v>
      </c>
      <c r="B80">
        <v>32</v>
      </c>
      <c r="C80">
        <v>10</v>
      </c>
      <c r="D80">
        <v>9</v>
      </c>
      <c r="E80">
        <v>0.153</v>
      </c>
      <c r="F80">
        <v>1481</v>
      </c>
      <c r="G80">
        <v>198</v>
      </c>
      <c r="H80">
        <v>0.2</v>
      </c>
    </row>
    <row r="81" spans="1:8" x14ac:dyDescent="0.25">
      <c r="A81" t="s">
        <v>23</v>
      </c>
      <c r="B81">
        <v>32</v>
      </c>
      <c r="C81">
        <v>10</v>
      </c>
      <c r="D81">
        <v>10</v>
      </c>
      <c r="E81">
        <v>0.23100000000000001</v>
      </c>
      <c r="F81">
        <v>2221</v>
      </c>
      <c r="G81">
        <v>195</v>
      </c>
      <c r="H81">
        <v>0.2</v>
      </c>
    </row>
    <row r="82" spans="1:8" x14ac:dyDescent="0.25">
      <c r="A82" t="s">
        <v>23</v>
      </c>
      <c r="B82">
        <v>32</v>
      </c>
      <c r="C82">
        <v>10</v>
      </c>
      <c r="D82">
        <v>1</v>
      </c>
      <c r="E82">
        <v>0.126</v>
      </c>
      <c r="F82">
        <v>1154</v>
      </c>
      <c r="G82">
        <v>193</v>
      </c>
      <c r="H82">
        <v>0.3</v>
      </c>
    </row>
    <row r="83" spans="1:8" x14ac:dyDescent="0.25">
      <c r="A83" t="s">
        <v>23</v>
      </c>
      <c r="B83">
        <v>32</v>
      </c>
      <c r="C83">
        <v>10</v>
      </c>
      <c r="D83">
        <v>2</v>
      </c>
      <c r="E83">
        <v>0.16800000000000001</v>
      </c>
      <c r="F83">
        <v>1561</v>
      </c>
      <c r="G83">
        <v>211</v>
      </c>
      <c r="H83">
        <v>0.3</v>
      </c>
    </row>
    <row r="84" spans="1:8" x14ac:dyDescent="0.25">
      <c r="A84" t="s">
        <v>23</v>
      </c>
      <c r="B84">
        <v>32</v>
      </c>
      <c r="C84">
        <v>10</v>
      </c>
      <c r="D84">
        <v>3</v>
      </c>
      <c r="E84">
        <v>0.25900000000000001</v>
      </c>
      <c r="F84">
        <v>2510</v>
      </c>
      <c r="G84">
        <v>201</v>
      </c>
      <c r="H84">
        <v>0.3</v>
      </c>
    </row>
    <row r="85" spans="1:8" x14ac:dyDescent="0.25">
      <c r="A85" t="s">
        <v>23</v>
      </c>
      <c r="B85">
        <v>32</v>
      </c>
      <c r="C85">
        <v>10</v>
      </c>
      <c r="D85">
        <v>4</v>
      </c>
      <c r="E85">
        <v>0.16900000000000001</v>
      </c>
      <c r="F85">
        <v>1268</v>
      </c>
      <c r="G85">
        <v>208</v>
      </c>
      <c r="H85">
        <v>0.3</v>
      </c>
    </row>
    <row r="86" spans="1:8" x14ac:dyDescent="0.25">
      <c r="A86" t="s">
        <v>23</v>
      </c>
      <c r="B86">
        <v>32</v>
      </c>
      <c r="C86">
        <v>10</v>
      </c>
      <c r="D86">
        <v>5</v>
      </c>
      <c r="E86">
        <v>0.16400000000000001</v>
      </c>
      <c r="F86">
        <v>1352</v>
      </c>
      <c r="G86">
        <v>219</v>
      </c>
      <c r="H86">
        <v>0.3</v>
      </c>
    </row>
    <row r="87" spans="1:8" x14ac:dyDescent="0.25">
      <c r="A87" t="s">
        <v>23</v>
      </c>
      <c r="B87">
        <v>32</v>
      </c>
      <c r="C87">
        <v>10</v>
      </c>
      <c r="D87">
        <v>6</v>
      </c>
      <c r="E87">
        <v>0.16600000000000001</v>
      </c>
      <c r="F87">
        <v>1242</v>
      </c>
      <c r="G87">
        <v>199</v>
      </c>
      <c r="H87">
        <v>0.3</v>
      </c>
    </row>
    <row r="88" spans="1:8" x14ac:dyDescent="0.25">
      <c r="A88" t="s">
        <v>23</v>
      </c>
      <c r="B88">
        <v>32</v>
      </c>
      <c r="C88">
        <v>10</v>
      </c>
      <c r="D88">
        <v>7</v>
      </c>
      <c r="E88">
        <v>0.224</v>
      </c>
      <c r="F88">
        <v>2126</v>
      </c>
      <c r="G88">
        <v>195</v>
      </c>
      <c r="H88">
        <v>0.3</v>
      </c>
    </row>
    <row r="89" spans="1:8" x14ac:dyDescent="0.25">
      <c r="A89" t="s">
        <v>23</v>
      </c>
      <c r="B89">
        <v>32</v>
      </c>
      <c r="C89">
        <v>10</v>
      </c>
      <c r="D89">
        <v>8</v>
      </c>
      <c r="E89">
        <v>0.22600000000000001</v>
      </c>
      <c r="F89">
        <v>2136</v>
      </c>
      <c r="G89">
        <v>205</v>
      </c>
      <c r="H89">
        <v>0.3</v>
      </c>
    </row>
    <row r="90" spans="1:8" x14ac:dyDescent="0.25">
      <c r="A90" t="s">
        <v>23</v>
      </c>
      <c r="B90">
        <v>32</v>
      </c>
      <c r="C90">
        <v>10</v>
      </c>
      <c r="D90">
        <v>9</v>
      </c>
      <c r="E90">
        <v>0.14399999999999999</v>
      </c>
      <c r="F90">
        <v>1360</v>
      </c>
      <c r="G90">
        <v>208</v>
      </c>
      <c r="H90">
        <v>0.3</v>
      </c>
    </row>
    <row r="91" spans="1:8" x14ac:dyDescent="0.25">
      <c r="A91" t="s">
        <v>23</v>
      </c>
      <c r="B91">
        <v>32</v>
      </c>
      <c r="C91">
        <v>10</v>
      </c>
      <c r="D91">
        <v>10</v>
      </c>
      <c r="E91">
        <v>0.183</v>
      </c>
      <c r="F91">
        <v>1756</v>
      </c>
      <c r="G91">
        <v>209</v>
      </c>
      <c r="H91">
        <v>0.3</v>
      </c>
    </row>
    <row r="92" spans="1:8" x14ac:dyDescent="0.25">
      <c r="A92" t="s">
        <v>23</v>
      </c>
      <c r="B92">
        <v>32</v>
      </c>
      <c r="C92">
        <v>10</v>
      </c>
      <c r="D92">
        <v>1</v>
      </c>
      <c r="E92">
        <v>0.2</v>
      </c>
      <c r="F92">
        <v>1848</v>
      </c>
      <c r="G92">
        <v>205</v>
      </c>
      <c r="H92">
        <v>0.4</v>
      </c>
    </row>
    <row r="93" spans="1:8" x14ac:dyDescent="0.25">
      <c r="A93" t="s">
        <v>23</v>
      </c>
      <c r="B93">
        <v>32</v>
      </c>
      <c r="C93">
        <v>10</v>
      </c>
      <c r="D93">
        <v>2</v>
      </c>
      <c r="E93">
        <v>0.35499999999999998</v>
      </c>
      <c r="F93">
        <v>3271</v>
      </c>
      <c r="G93">
        <v>208</v>
      </c>
      <c r="H93">
        <v>0.4</v>
      </c>
    </row>
    <row r="94" spans="1:8" x14ac:dyDescent="0.25">
      <c r="A94" t="s">
        <v>23</v>
      </c>
      <c r="B94">
        <v>32</v>
      </c>
      <c r="C94">
        <v>10</v>
      </c>
      <c r="D94">
        <v>3</v>
      </c>
      <c r="E94">
        <v>0.21199999999999999</v>
      </c>
      <c r="F94">
        <v>1698</v>
      </c>
      <c r="G94">
        <v>211</v>
      </c>
      <c r="H94">
        <v>0.4</v>
      </c>
    </row>
    <row r="95" spans="1:8" x14ac:dyDescent="0.25">
      <c r="A95" t="s">
        <v>23</v>
      </c>
      <c r="B95">
        <v>32</v>
      </c>
      <c r="C95">
        <v>10</v>
      </c>
      <c r="D95">
        <v>4</v>
      </c>
      <c r="E95">
        <v>0.13800000000000001</v>
      </c>
      <c r="F95">
        <v>1299</v>
      </c>
      <c r="G95">
        <v>202</v>
      </c>
      <c r="H95">
        <v>0.4</v>
      </c>
    </row>
    <row r="96" spans="1:8" x14ac:dyDescent="0.25">
      <c r="A96" t="s">
        <v>23</v>
      </c>
      <c r="B96">
        <v>32</v>
      </c>
      <c r="C96">
        <v>10</v>
      </c>
      <c r="D96">
        <v>5</v>
      </c>
      <c r="E96">
        <v>0.112</v>
      </c>
      <c r="F96">
        <v>1042</v>
      </c>
      <c r="G96">
        <v>207</v>
      </c>
      <c r="H96">
        <v>0.4</v>
      </c>
    </row>
    <row r="97" spans="1:8" x14ac:dyDescent="0.25">
      <c r="A97" t="s">
        <v>23</v>
      </c>
      <c r="B97">
        <v>32</v>
      </c>
      <c r="C97">
        <v>10</v>
      </c>
      <c r="D97">
        <v>6</v>
      </c>
      <c r="E97">
        <v>0.19900000000000001</v>
      </c>
      <c r="F97">
        <v>1768</v>
      </c>
      <c r="G97">
        <v>206</v>
      </c>
      <c r="H97">
        <v>0.4</v>
      </c>
    </row>
    <row r="98" spans="1:8" x14ac:dyDescent="0.25">
      <c r="A98" t="s">
        <v>23</v>
      </c>
      <c r="B98">
        <v>32</v>
      </c>
      <c r="C98">
        <v>10</v>
      </c>
      <c r="D98">
        <v>7</v>
      </c>
      <c r="E98">
        <v>0.221</v>
      </c>
      <c r="F98">
        <v>2094</v>
      </c>
      <c r="G98">
        <v>209</v>
      </c>
      <c r="H98">
        <v>0.4</v>
      </c>
    </row>
    <row r="99" spans="1:8" x14ac:dyDescent="0.25">
      <c r="A99" t="s">
        <v>23</v>
      </c>
      <c r="B99">
        <v>32</v>
      </c>
      <c r="C99">
        <v>10</v>
      </c>
      <c r="D99">
        <v>8</v>
      </c>
      <c r="E99">
        <v>0.157</v>
      </c>
      <c r="F99">
        <v>1478</v>
      </c>
      <c r="G99">
        <v>195</v>
      </c>
      <c r="H99">
        <v>0.4</v>
      </c>
    </row>
    <row r="100" spans="1:8" x14ac:dyDescent="0.25">
      <c r="A100" t="s">
        <v>23</v>
      </c>
      <c r="B100">
        <v>32</v>
      </c>
      <c r="C100">
        <v>10</v>
      </c>
      <c r="D100">
        <v>9</v>
      </c>
      <c r="E100">
        <v>0.14699999999999999</v>
      </c>
      <c r="F100">
        <v>1376</v>
      </c>
      <c r="G100">
        <v>202</v>
      </c>
      <c r="H100">
        <v>0.4</v>
      </c>
    </row>
    <row r="101" spans="1:8" x14ac:dyDescent="0.25">
      <c r="A101" t="s">
        <v>23</v>
      </c>
      <c r="B101">
        <v>32</v>
      </c>
      <c r="C101">
        <v>10</v>
      </c>
      <c r="D101">
        <v>10</v>
      </c>
      <c r="E101">
        <v>0.25</v>
      </c>
      <c r="F101">
        <v>2288</v>
      </c>
      <c r="G101">
        <v>213</v>
      </c>
      <c r="H101">
        <v>0.4</v>
      </c>
    </row>
    <row r="102" spans="1:8" x14ac:dyDescent="0.25">
      <c r="A102" t="s">
        <v>23</v>
      </c>
      <c r="B102">
        <v>32</v>
      </c>
      <c r="C102">
        <v>10</v>
      </c>
      <c r="D102">
        <v>1</v>
      </c>
      <c r="E102">
        <v>0.185</v>
      </c>
      <c r="F102">
        <v>1712</v>
      </c>
      <c r="G102">
        <v>201</v>
      </c>
      <c r="H102">
        <v>0.5</v>
      </c>
    </row>
    <row r="103" spans="1:8" x14ac:dyDescent="0.25">
      <c r="A103" t="s">
        <v>23</v>
      </c>
      <c r="B103">
        <v>32</v>
      </c>
      <c r="C103">
        <v>10</v>
      </c>
      <c r="D103">
        <v>2</v>
      </c>
      <c r="E103">
        <v>0.25700000000000001</v>
      </c>
      <c r="F103">
        <v>2404</v>
      </c>
      <c r="G103">
        <v>205</v>
      </c>
      <c r="H103">
        <v>0.5</v>
      </c>
    </row>
    <row r="104" spans="1:8" x14ac:dyDescent="0.25">
      <c r="A104" t="s">
        <v>23</v>
      </c>
      <c r="B104">
        <v>32</v>
      </c>
      <c r="C104">
        <v>10</v>
      </c>
      <c r="D104">
        <v>3</v>
      </c>
      <c r="E104">
        <v>0.252</v>
      </c>
      <c r="F104">
        <v>2358</v>
      </c>
      <c r="G104">
        <v>202</v>
      </c>
      <c r="H104">
        <v>0.5</v>
      </c>
    </row>
    <row r="105" spans="1:8" x14ac:dyDescent="0.25">
      <c r="A105" t="s">
        <v>23</v>
      </c>
      <c r="B105">
        <v>32</v>
      </c>
      <c r="C105">
        <v>10</v>
      </c>
      <c r="D105">
        <v>4</v>
      </c>
      <c r="E105">
        <v>0.19800000000000001</v>
      </c>
      <c r="F105">
        <v>1866</v>
      </c>
      <c r="G105">
        <v>202</v>
      </c>
      <c r="H105">
        <v>0.5</v>
      </c>
    </row>
    <row r="106" spans="1:8" x14ac:dyDescent="0.25">
      <c r="A106" t="s">
        <v>23</v>
      </c>
      <c r="B106">
        <v>32</v>
      </c>
      <c r="C106">
        <v>10</v>
      </c>
      <c r="D106">
        <v>5</v>
      </c>
      <c r="E106">
        <v>0.36799999999999999</v>
      </c>
      <c r="F106">
        <v>3464</v>
      </c>
      <c r="G106">
        <v>190</v>
      </c>
      <c r="H106">
        <v>0.5</v>
      </c>
    </row>
    <row r="107" spans="1:8" x14ac:dyDescent="0.25">
      <c r="A107" t="s">
        <v>23</v>
      </c>
      <c r="B107">
        <v>32</v>
      </c>
      <c r="C107">
        <v>10</v>
      </c>
      <c r="D107">
        <v>6</v>
      </c>
      <c r="E107">
        <v>0.192</v>
      </c>
      <c r="F107">
        <v>1828</v>
      </c>
      <c r="G107">
        <v>203</v>
      </c>
      <c r="H107">
        <v>0.5</v>
      </c>
    </row>
    <row r="108" spans="1:8" x14ac:dyDescent="0.25">
      <c r="A108" t="s">
        <v>23</v>
      </c>
      <c r="B108">
        <v>32</v>
      </c>
      <c r="C108">
        <v>10</v>
      </c>
      <c r="D108">
        <v>7</v>
      </c>
      <c r="E108">
        <v>0.22600000000000001</v>
      </c>
      <c r="F108">
        <v>2129</v>
      </c>
      <c r="G108">
        <v>224</v>
      </c>
      <c r="H108">
        <v>0.5</v>
      </c>
    </row>
    <row r="109" spans="1:8" x14ac:dyDescent="0.25">
      <c r="A109" t="s">
        <v>23</v>
      </c>
      <c r="B109">
        <v>32</v>
      </c>
      <c r="C109">
        <v>10</v>
      </c>
      <c r="D109">
        <v>8</v>
      </c>
      <c r="E109">
        <v>0.121</v>
      </c>
      <c r="F109">
        <v>1149</v>
      </c>
      <c r="G109">
        <v>218</v>
      </c>
      <c r="H109">
        <v>0.5</v>
      </c>
    </row>
    <row r="110" spans="1:8" x14ac:dyDescent="0.25">
      <c r="A110" t="s">
        <v>23</v>
      </c>
      <c r="B110">
        <v>32</v>
      </c>
      <c r="C110">
        <v>10</v>
      </c>
      <c r="D110">
        <v>9</v>
      </c>
      <c r="E110">
        <v>0.19600000000000001</v>
      </c>
      <c r="F110">
        <v>1867</v>
      </c>
      <c r="G110">
        <v>204</v>
      </c>
      <c r="H110">
        <v>0.5</v>
      </c>
    </row>
    <row r="111" spans="1:8" x14ac:dyDescent="0.25">
      <c r="A111" t="s">
        <v>23</v>
      </c>
      <c r="B111">
        <v>32</v>
      </c>
      <c r="C111">
        <v>10</v>
      </c>
      <c r="D111">
        <v>10</v>
      </c>
      <c r="E111">
        <v>0.14000000000000001</v>
      </c>
      <c r="F111">
        <v>1291</v>
      </c>
      <c r="G111">
        <v>222</v>
      </c>
      <c r="H111">
        <v>0.5</v>
      </c>
    </row>
    <row r="112" spans="1:8" x14ac:dyDescent="0.25">
      <c r="A112" t="s">
        <v>23</v>
      </c>
      <c r="B112">
        <v>32</v>
      </c>
      <c r="C112">
        <v>10</v>
      </c>
      <c r="D112">
        <v>1</v>
      </c>
      <c r="E112">
        <v>0.251</v>
      </c>
      <c r="F112">
        <v>2322</v>
      </c>
      <c r="G112">
        <v>216</v>
      </c>
      <c r="H112">
        <v>0.6</v>
      </c>
    </row>
    <row r="113" spans="1:8" x14ac:dyDescent="0.25">
      <c r="A113" t="s">
        <v>23</v>
      </c>
      <c r="B113">
        <v>32</v>
      </c>
      <c r="C113">
        <v>10</v>
      </c>
      <c r="D113">
        <v>2</v>
      </c>
      <c r="E113">
        <v>0.30099999999999999</v>
      </c>
      <c r="F113">
        <v>2825</v>
      </c>
      <c r="G113">
        <v>207</v>
      </c>
      <c r="H113">
        <v>0.6</v>
      </c>
    </row>
    <row r="114" spans="1:8" x14ac:dyDescent="0.25">
      <c r="A114" t="s">
        <v>23</v>
      </c>
      <c r="B114">
        <v>32</v>
      </c>
      <c r="C114">
        <v>10</v>
      </c>
      <c r="D114">
        <v>3</v>
      </c>
      <c r="E114">
        <v>0.129</v>
      </c>
      <c r="F114">
        <v>1216</v>
      </c>
      <c r="G114">
        <v>226</v>
      </c>
      <c r="H114">
        <v>0.6</v>
      </c>
    </row>
    <row r="115" spans="1:8" x14ac:dyDescent="0.25">
      <c r="A115" t="s">
        <v>23</v>
      </c>
      <c r="B115">
        <v>32</v>
      </c>
      <c r="C115">
        <v>10</v>
      </c>
      <c r="D115">
        <v>4</v>
      </c>
      <c r="E115">
        <v>0.222</v>
      </c>
      <c r="F115">
        <v>2075</v>
      </c>
      <c r="G115">
        <v>209</v>
      </c>
      <c r="H115">
        <v>0.6</v>
      </c>
    </row>
    <row r="116" spans="1:8" x14ac:dyDescent="0.25">
      <c r="A116" t="s">
        <v>23</v>
      </c>
      <c r="B116">
        <v>32</v>
      </c>
      <c r="C116">
        <v>10</v>
      </c>
      <c r="D116">
        <v>5</v>
      </c>
      <c r="E116">
        <v>0.32300000000000001</v>
      </c>
      <c r="F116">
        <v>3050</v>
      </c>
      <c r="G116">
        <v>192</v>
      </c>
      <c r="H116">
        <v>0.6</v>
      </c>
    </row>
    <row r="117" spans="1:8" x14ac:dyDescent="0.25">
      <c r="A117" t="s">
        <v>23</v>
      </c>
      <c r="B117">
        <v>32</v>
      </c>
      <c r="C117">
        <v>10</v>
      </c>
      <c r="D117">
        <v>6</v>
      </c>
      <c r="E117">
        <v>0.115</v>
      </c>
      <c r="F117">
        <v>1089</v>
      </c>
      <c r="G117">
        <v>195</v>
      </c>
      <c r="H117">
        <v>0.6</v>
      </c>
    </row>
    <row r="118" spans="1:8" x14ac:dyDescent="0.25">
      <c r="A118" t="s">
        <v>23</v>
      </c>
      <c r="B118">
        <v>32</v>
      </c>
      <c r="C118">
        <v>10</v>
      </c>
      <c r="D118">
        <v>7</v>
      </c>
      <c r="E118">
        <v>0.151</v>
      </c>
      <c r="F118">
        <v>1412</v>
      </c>
      <c r="G118">
        <v>197</v>
      </c>
      <c r="H118">
        <v>0.6</v>
      </c>
    </row>
    <row r="119" spans="1:8" x14ac:dyDescent="0.25">
      <c r="A119" t="s">
        <v>23</v>
      </c>
      <c r="B119">
        <v>32</v>
      </c>
      <c r="C119">
        <v>10</v>
      </c>
      <c r="D119">
        <v>8</v>
      </c>
      <c r="E119">
        <v>0.17199999999999999</v>
      </c>
      <c r="F119">
        <v>1639</v>
      </c>
      <c r="G119">
        <v>207</v>
      </c>
      <c r="H119">
        <v>0.6</v>
      </c>
    </row>
    <row r="120" spans="1:8" x14ac:dyDescent="0.25">
      <c r="A120" t="s">
        <v>23</v>
      </c>
      <c r="B120">
        <v>32</v>
      </c>
      <c r="C120">
        <v>10</v>
      </c>
      <c r="D120">
        <v>9</v>
      </c>
      <c r="E120">
        <v>0.186</v>
      </c>
      <c r="F120">
        <v>1766</v>
      </c>
      <c r="G120">
        <v>197</v>
      </c>
      <c r="H120">
        <v>0.6</v>
      </c>
    </row>
    <row r="121" spans="1:8" x14ac:dyDescent="0.25">
      <c r="A121" t="s">
        <v>23</v>
      </c>
      <c r="B121">
        <v>32</v>
      </c>
      <c r="C121">
        <v>10</v>
      </c>
      <c r="D121">
        <v>10</v>
      </c>
      <c r="E121">
        <v>0.114</v>
      </c>
      <c r="F121">
        <v>1096</v>
      </c>
      <c r="G121">
        <v>207</v>
      </c>
      <c r="H121">
        <v>0.6</v>
      </c>
    </row>
    <row r="122" spans="1:8" x14ac:dyDescent="0.25">
      <c r="A122" t="s">
        <v>23</v>
      </c>
      <c r="B122">
        <v>32</v>
      </c>
      <c r="C122">
        <v>10</v>
      </c>
      <c r="D122">
        <v>1</v>
      </c>
      <c r="E122">
        <v>0.2</v>
      </c>
      <c r="F122">
        <v>1891</v>
      </c>
      <c r="G122">
        <v>214</v>
      </c>
      <c r="H122">
        <v>0.7</v>
      </c>
    </row>
    <row r="123" spans="1:8" x14ac:dyDescent="0.25">
      <c r="A123" t="s">
        <v>23</v>
      </c>
      <c r="B123">
        <v>32</v>
      </c>
      <c r="C123">
        <v>10</v>
      </c>
      <c r="D123">
        <v>2</v>
      </c>
      <c r="E123">
        <v>0.20699999999999999</v>
      </c>
      <c r="F123">
        <v>1966</v>
      </c>
      <c r="G123">
        <v>204</v>
      </c>
      <c r="H123">
        <v>0.7</v>
      </c>
    </row>
    <row r="124" spans="1:8" x14ac:dyDescent="0.25">
      <c r="A124" t="s">
        <v>23</v>
      </c>
      <c r="B124">
        <v>32</v>
      </c>
      <c r="C124">
        <v>10</v>
      </c>
      <c r="D124">
        <v>3</v>
      </c>
      <c r="E124">
        <v>0.14000000000000001</v>
      </c>
      <c r="F124">
        <v>1326</v>
      </c>
      <c r="G124">
        <v>193</v>
      </c>
      <c r="H124">
        <v>0.7</v>
      </c>
    </row>
    <row r="125" spans="1:8" x14ac:dyDescent="0.25">
      <c r="A125" t="s">
        <v>23</v>
      </c>
      <c r="B125">
        <v>32</v>
      </c>
      <c r="C125">
        <v>10</v>
      </c>
      <c r="D125">
        <v>4</v>
      </c>
      <c r="E125">
        <v>0.23300000000000001</v>
      </c>
      <c r="F125">
        <v>2201</v>
      </c>
      <c r="G125">
        <v>214</v>
      </c>
      <c r="H125">
        <v>0.7</v>
      </c>
    </row>
    <row r="126" spans="1:8" x14ac:dyDescent="0.25">
      <c r="A126" t="s">
        <v>23</v>
      </c>
      <c r="B126">
        <v>32</v>
      </c>
      <c r="C126">
        <v>10</v>
      </c>
      <c r="D126">
        <v>5</v>
      </c>
      <c r="E126">
        <v>0.27800000000000002</v>
      </c>
      <c r="F126">
        <v>2701</v>
      </c>
      <c r="G126">
        <v>211</v>
      </c>
      <c r="H126">
        <v>0.7</v>
      </c>
    </row>
    <row r="127" spans="1:8" x14ac:dyDescent="0.25">
      <c r="A127" t="s">
        <v>23</v>
      </c>
      <c r="B127">
        <v>32</v>
      </c>
      <c r="C127">
        <v>10</v>
      </c>
      <c r="D127">
        <v>6</v>
      </c>
      <c r="E127">
        <v>0.17199999999999999</v>
      </c>
      <c r="F127">
        <v>1656</v>
      </c>
      <c r="G127">
        <v>213</v>
      </c>
      <c r="H127">
        <v>0.7</v>
      </c>
    </row>
    <row r="128" spans="1:8" x14ac:dyDescent="0.25">
      <c r="A128" t="s">
        <v>23</v>
      </c>
      <c r="B128">
        <v>32</v>
      </c>
      <c r="C128">
        <v>10</v>
      </c>
      <c r="D128">
        <v>7</v>
      </c>
      <c r="E128">
        <v>0.123</v>
      </c>
      <c r="F128">
        <v>1197</v>
      </c>
      <c r="G128">
        <v>204</v>
      </c>
      <c r="H128">
        <v>0.7</v>
      </c>
    </row>
    <row r="129" spans="1:8" x14ac:dyDescent="0.25">
      <c r="A129" t="s">
        <v>23</v>
      </c>
      <c r="B129">
        <v>32</v>
      </c>
      <c r="C129">
        <v>10</v>
      </c>
      <c r="D129">
        <v>8</v>
      </c>
      <c r="E129">
        <v>0.21299999999999999</v>
      </c>
      <c r="F129">
        <v>2009</v>
      </c>
      <c r="G129">
        <v>216</v>
      </c>
      <c r="H129">
        <v>0.7</v>
      </c>
    </row>
    <row r="130" spans="1:8" x14ac:dyDescent="0.25">
      <c r="A130" t="s">
        <v>23</v>
      </c>
      <c r="B130">
        <v>32</v>
      </c>
      <c r="C130">
        <v>10</v>
      </c>
      <c r="D130">
        <v>9</v>
      </c>
      <c r="E130">
        <v>0.17799999999999999</v>
      </c>
      <c r="F130">
        <v>1691</v>
      </c>
      <c r="G130">
        <v>220</v>
      </c>
      <c r="H130">
        <v>0.7</v>
      </c>
    </row>
    <row r="131" spans="1:8" x14ac:dyDescent="0.25">
      <c r="A131" t="s">
        <v>23</v>
      </c>
      <c r="B131">
        <v>32</v>
      </c>
      <c r="C131">
        <v>10</v>
      </c>
      <c r="D131">
        <v>10</v>
      </c>
      <c r="E131">
        <v>0.17899999999999999</v>
      </c>
      <c r="F131">
        <v>1435</v>
      </c>
      <c r="G131">
        <v>235</v>
      </c>
      <c r="H131">
        <v>0.7</v>
      </c>
    </row>
    <row r="132" spans="1:8" x14ac:dyDescent="0.25">
      <c r="A132" t="s">
        <v>23</v>
      </c>
      <c r="B132">
        <v>32</v>
      </c>
      <c r="C132">
        <v>10</v>
      </c>
      <c r="D132">
        <v>1</v>
      </c>
      <c r="E132">
        <v>0.128</v>
      </c>
      <c r="F132">
        <v>1245</v>
      </c>
      <c r="G132">
        <v>218</v>
      </c>
      <c r="H132">
        <v>0.8</v>
      </c>
    </row>
    <row r="133" spans="1:8" x14ac:dyDescent="0.25">
      <c r="A133" t="s">
        <v>23</v>
      </c>
      <c r="B133">
        <v>32</v>
      </c>
      <c r="C133">
        <v>10</v>
      </c>
      <c r="D133">
        <v>2</v>
      </c>
      <c r="E133">
        <v>0.29099999999999998</v>
      </c>
      <c r="F133">
        <v>2819</v>
      </c>
      <c r="G133">
        <v>221</v>
      </c>
      <c r="H133">
        <v>0.8</v>
      </c>
    </row>
    <row r="134" spans="1:8" x14ac:dyDescent="0.25">
      <c r="A134" t="s">
        <v>23</v>
      </c>
      <c r="B134">
        <v>32</v>
      </c>
      <c r="C134">
        <v>10</v>
      </c>
      <c r="D134">
        <v>3</v>
      </c>
      <c r="E134">
        <v>0.22600000000000001</v>
      </c>
      <c r="F134">
        <v>2208</v>
      </c>
      <c r="G134">
        <v>217</v>
      </c>
      <c r="H134">
        <v>0.8</v>
      </c>
    </row>
    <row r="135" spans="1:8" x14ac:dyDescent="0.25">
      <c r="A135" t="s">
        <v>23</v>
      </c>
      <c r="B135">
        <v>32</v>
      </c>
      <c r="C135">
        <v>10</v>
      </c>
      <c r="D135">
        <v>4</v>
      </c>
      <c r="E135">
        <v>0.124</v>
      </c>
      <c r="F135">
        <v>1011</v>
      </c>
      <c r="G135">
        <v>207</v>
      </c>
      <c r="H135">
        <v>0.8</v>
      </c>
    </row>
    <row r="136" spans="1:8" x14ac:dyDescent="0.25">
      <c r="A136" t="s">
        <v>23</v>
      </c>
      <c r="B136">
        <v>32</v>
      </c>
      <c r="C136">
        <v>10</v>
      </c>
      <c r="D136">
        <v>5</v>
      </c>
      <c r="E136">
        <v>0.13900000000000001</v>
      </c>
      <c r="F136">
        <v>1355</v>
      </c>
      <c r="G136">
        <v>217</v>
      </c>
      <c r="H136">
        <v>0.8</v>
      </c>
    </row>
    <row r="137" spans="1:8" x14ac:dyDescent="0.25">
      <c r="A137" t="s">
        <v>23</v>
      </c>
      <c r="B137">
        <v>32</v>
      </c>
      <c r="C137">
        <v>10</v>
      </c>
      <c r="D137">
        <v>6</v>
      </c>
      <c r="E137">
        <v>0.224</v>
      </c>
      <c r="F137">
        <v>1817</v>
      </c>
      <c r="G137">
        <v>217</v>
      </c>
      <c r="H137">
        <v>0.8</v>
      </c>
    </row>
    <row r="138" spans="1:8" x14ac:dyDescent="0.25">
      <c r="A138" t="s">
        <v>23</v>
      </c>
      <c r="B138">
        <v>32</v>
      </c>
      <c r="C138">
        <v>10</v>
      </c>
      <c r="D138">
        <v>7</v>
      </c>
      <c r="E138">
        <v>0.109</v>
      </c>
      <c r="F138">
        <v>1032</v>
      </c>
      <c r="G138">
        <v>226</v>
      </c>
      <c r="H138">
        <v>0.8</v>
      </c>
    </row>
    <row r="139" spans="1:8" x14ac:dyDescent="0.25">
      <c r="A139" t="s">
        <v>23</v>
      </c>
      <c r="B139">
        <v>32</v>
      </c>
      <c r="C139">
        <v>10</v>
      </c>
      <c r="D139">
        <v>8</v>
      </c>
      <c r="E139">
        <v>0.26</v>
      </c>
      <c r="F139">
        <v>2531</v>
      </c>
      <c r="G139">
        <v>215</v>
      </c>
      <c r="H139">
        <v>0.8</v>
      </c>
    </row>
    <row r="140" spans="1:8" x14ac:dyDescent="0.25">
      <c r="A140" t="s">
        <v>23</v>
      </c>
      <c r="B140">
        <v>32</v>
      </c>
      <c r="C140">
        <v>10</v>
      </c>
      <c r="D140">
        <v>9</v>
      </c>
      <c r="E140">
        <v>0.13</v>
      </c>
      <c r="F140">
        <v>1263</v>
      </c>
      <c r="G140">
        <v>208</v>
      </c>
      <c r="H140">
        <v>0.8</v>
      </c>
    </row>
    <row r="141" spans="1:8" x14ac:dyDescent="0.25">
      <c r="A141" t="s">
        <v>23</v>
      </c>
      <c r="B141">
        <v>32</v>
      </c>
      <c r="C141">
        <v>10</v>
      </c>
      <c r="D141">
        <v>10</v>
      </c>
      <c r="E141">
        <v>0.40899999999999997</v>
      </c>
      <c r="F141">
        <v>3399</v>
      </c>
      <c r="G141">
        <v>202</v>
      </c>
      <c r="H141">
        <v>0.8</v>
      </c>
    </row>
    <row r="142" spans="1:8" x14ac:dyDescent="0.25">
      <c r="A142" t="s">
        <v>23</v>
      </c>
      <c r="B142">
        <v>32</v>
      </c>
      <c r="C142">
        <v>10</v>
      </c>
      <c r="D142">
        <v>1</v>
      </c>
      <c r="E142">
        <v>0.219</v>
      </c>
      <c r="F142">
        <v>2047</v>
      </c>
      <c r="G142">
        <v>224</v>
      </c>
      <c r="H142">
        <v>0.9</v>
      </c>
    </row>
    <row r="143" spans="1:8" x14ac:dyDescent="0.25">
      <c r="A143" t="s">
        <v>23</v>
      </c>
      <c r="B143">
        <v>32</v>
      </c>
      <c r="C143">
        <v>10</v>
      </c>
      <c r="D143">
        <v>2</v>
      </c>
      <c r="E143">
        <v>0.17699999999999999</v>
      </c>
      <c r="F143">
        <v>1347</v>
      </c>
      <c r="G143">
        <v>220</v>
      </c>
      <c r="H143">
        <v>0.9</v>
      </c>
    </row>
    <row r="144" spans="1:8" x14ac:dyDescent="0.25">
      <c r="A144" t="s">
        <v>23</v>
      </c>
      <c r="B144">
        <v>32</v>
      </c>
      <c r="C144">
        <v>10</v>
      </c>
      <c r="D144">
        <v>3</v>
      </c>
      <c r="E144">
        <v>0.23400000000000001</v>
      </c>
      <c r="F144">
        <v>2169</v>
      </c>
      <c r="G144">
        <v>208</v>
      </c>
      <c r="H144">
        <v>0.9</v>
      </c>
    </row>
    <row r="145" spans="1:8" x14ac:dyDescent="0.25">
      <c r="A145" t="s">
        <v>23</v>
      </c>
      <c r="B145">
        <v>32</v>
      </c>
      <c r="C145">
        <v>10</v>
      </c>
      <c r="D145">
        <v>4</v>
      </c>
      <c r="E145">
        <v>0.123</v>
      </c>
      <c r="F145">
        <v>1011</v>
      </c>
      <c r="G145">
        <v>225</v>
      </c>
      <c r="H145">
        <v>0.9</v>
      </c>
    </row>
    <row r="146" spans="1:8" x14ac:dyDescent="0.25">
      <c r="A146" t="s">
        <v>23</v>
      </c>
      <c r="B146">
        <v>32</v>
      </c>
      <c r="C146">
        <v>10</v>
      </c>
      <c r="D146">
        <v>5</v>
      </c>
      <c r="E146">
        <v>0.26800000000000002</v>
      </c>
      <c r="F146">
        <v>2652</v>
      </c>
      <c r="G146">
        <v>212</v>
      </c>
      <c r="H146">
        <v>0.9</v>
      </c>
    </row>
    <row r="147" spans="1:8" x14ac:dyDescent="0.25">
      <c r="A147" t="s">
        <v>23</v>
      </c>
      <c r="B147">
        <v>32</v>
      </c>
      <c r="C147">
        <v>10</v>
      </c>
      <c r="D147">
        <v>6</v>
      </c>
      <c r="E147">
        <v>0.23300000000000001</v>
      </c>
      <c r="F147">
        <v>1905</v>
      </c>
      <c r="G147">
        <v>207</v>
      </c>
      <c r="H147">
        <v>0.9</v>
      </c>
    </row>
    <row r="148" spans="1:8" x14ac:dyDescent="0.25">
      <c r="A148" t="s">
        <v>23</v>
      </c>
      <c r="B148">
        <v>32</v>
      </c>
      <c r="C148">
        <v>10</v>
      </c>
      <c r="D148">
        <v>7</v>
      </c>
      <c r="E148">
        <v>0.23699999999999999</v>
      </c>
      <c r="F148">
        <v>2329</v>
      </c>
      <c r="G148">
        <v>206</v>
      </c>
      <c r="H148">
        <v>0.9</v>
      </c>
    </row>
    <row r="149" spans="1:8" x14ac:dyDescent="0.25">
      <c r="A149" t="s">
        <v>23</v>
      </c>
      <c r="B149">
        <v>32</v>
      </c>
      <c r="C149">
        <v>10</v>
      </c>
      <c r="D149">
        <v>8</v>
      </c>
      <c r="E149">
        <v>0.16500000000000001</v>
      </c>
      <c r="F149">
        <v>1504</v>
      </c>
      <c r="G149">
        <v>216</v>
      </c>
      <c r="H149">
        <v>0.9</v>
      </c>
    </row>
    <row r="150" spans="1:8" x14ac:dyDescent="0.25">
      <c r="A150" t="s">
        <v>23</v>
      </c>
      <c r="B150">
        <v>32</v>
      </c>
      <c r="C150">
        <v>10</v>
      </c>
      <c r="D150">
        <v>9</v>
      </c>
      <c r="E150">
        <v>0.123</v>
      </c>
      <c r="F150">
        <v>1093</v>
      </c>
      <c r="G150">
        <v>222</v>
      </c>
      <c r="H150">
        <v>0.9</v>
      </c>
    </row>
    <row r="151" spans="1:8" x14ac:dyDescent="0.25">
      <c r="A151" t="s">
        <v>23</v>
      </c>
      <c r="B151">
        <v>32</v>
      </c>
      <c r="C151">
        <v>10</v>
      </c>
      <c r="D151">
        <v>10</v>
      </c>
      <c r="E151">
        <v>0.19800000000000001</v>
      </c>
      <c r="F151">
        <v>1870</v>
      </c>
      <c r="G151">
        <v>227</v>
      </c>
      <c r="H151">
        <v>0.9</v>
      </c>
    </row>
    <row r="152" spans="1:8" x14ac:dyDescent="0.25">
      <c r="A152" t="s">
        <v>23</v>
      </c>
      <c r="B152">
        <v>100</v>
      </c>
      <c r="C152">
        <v>10</v>
      </c>
      <c r="D152">
        <v>1</v>
      </c>
      <c r="E152">
        <v>0.14000000000000001</v>
      </c>
      <c r="F152">
        <v>1296</v>
      </c>
      <c r="G152">
        <v>537</v>
      </c>
      <c r="H152">
        <v>0.1</v>
      </c>
    </row>
    <row r="153" spans="1:8" x14ac:dyDescent="0.25">
      <c r="A153" t="s">
        <v>23</v>
      </c>
      <c r="B153">
        <v>100</v>
      </c>
      <c r="C153">
        <v>10</v>
      </c>
      <c r="D153">
        <v>2</v>
      </c>
      <c r="E153">
        <v>0.17299999999999999</v>
      </c>
      <c r="F153">
        <v>1439</v>
      </c>
      <c r="G153">
        <v>533</v>
      </c>
      <c r="H153">
        <v>0.1</v>
      </c>
    </row>
    <row r="154" spans="1:8" x14ac:dyDescent="0.25">
      <c r="A154" t="s">
        <v>23</v>
      </c>
      <c r="B154">
        <v>100</v>
      </c>
      <c r="C154">
        <v>10</v>
      </c>
      <c r="D154">
        <v>3</v>
      </c>
      <c r="E154">
        <v>0.20300000000000001</v>
      </c>
      <c r="F154">
        <v>1616</v>
      </c>
      <c r="G154">
        <v>546</v>
      </c>
      <c r="H154">
        <v>0.1</v>
      </c>
    </row>
    <row r="155" spans="1:8" x14ac:dyDescent="0.25">
      <c r="A155" t="s">
        <v>23</v>
      </c>
      <c r="B155">
        <v>100</v>
      </c>
      <c r="C155">
        <v>10</v>
      </c>
      <c r="D155">
        <v>4</v>
      </c>
      <c r="E155">
        <v>0.26500000000000001</v>
      </c>
      <c r="F155">
        <v>2556</v>
      </c>
      <c r="G155">
        <v>541</v>
      </c>
      <c r="H155">
        <v>0.1</v>
      </c>
    </row>
    <row r="156" spans="1:8" x14ac:dyDescent="0.25">
      <c r="A156" t="s">
        <v>23</v>
      </c>
      <c r="B156">
        <v>100</v>
      </c>
      <c r="C156">
        <v>10</v>
      </c>
      <c r="D156">
        <v>5</v>
      </c>
      <c r="E156">
        <v>0.123</v>
      </c>
      <c r="F156">
        <v>1166</v>
      </c>
      <c r="G156">
        <v>530</v>
      </c>
      <c r="H156">
        <v>0.1</v>
      </c>
    </row>
    <row r="157" spans="1:8" x14ac:dyDescent="0.25">
      <c r="A157" t="s">
        <v>23</v>
      </c>
      <c r="B157">
        <v>100</v>
      </c>
      <c r="C157">
        <v>10</v>
      </c>
      <c r="D157">
        <v>6</v>
      </c>
      <c r="E157">
        <v>0.16500000000000001</v>
      </c>
      <c r="F157">
        <v>1584</v>
      </c>
      <c r="G157">
        <v>532</v>
      </c>
      <c r="H157">
        <v>0.1</v>
      </c>
    </row>
    <row r="158" spans="1:8" x14ac:dyDescent="0.25">
      <c r="A158" t="s">
        <v>23</v>
      </c>
      <c r="B158">
        <v>100</v>
      </c>
      <c r="C158">
        <v>10</v>
      </c>
      <c r="D158">
        <v>7</v>
      </c>
      <c r="E158">
        <v>0.19400000000000001</v>
      </c>
      <c r="F158">
        <v>1825</v>
      </c>
      <c r="G158">
        <v>536</v>
      </c>
      <c r="H158">
        <v>0.1</v>
      </c>
    </row>
    <row r="159" spans="1:8" x14ac:dyDescent="0.25">
      <c r="A159" t="s">
        <v>23</v>
      </c>
      <c r="B159">
        <v>100</v>
      </c>
      <c r="C159">
        <v>10</v>
      </c>
      <c r="D159">
        <v>8</v>
      </c>
      <c r="E159">
        <v>0.22900000000000001</v>
      </c>
      <c r="F159">
        <v>2259</v>
      </c>
      <c r="G159">
        <v>524</v>
      </c>
      <c r="H159">
        <v>0.1</v>
      </c>
    </row>
    <row r="160" spans="1:8" x14ac:dyDescent="0.25">
      <c r="A160" t="s">
        <v>23</v>
      </c>
      <c r="B160">
        <v>100</v>
      </c>
      <c r="C160">
        <v>10</v>
      </c>
      <c r="D160">
        <v>9</v>
      </c>
      <c r="E160">
        <v>0.16600000000000001</v>
      </c>
      <c r="F160">
        <v>1567</v>
      </c>
      <c r="G160">
        <v>522</v>
      </c>
      <c r="H160">
        <v>0.1</v>
      </c>
    </row>
    <row r="161" spans="1:8" x14ac:dyDescent="0.25">
      <c r="A161" t="s">
        <v>23</v>
      </c>
      <c r="B161">
        <v>100</v>
      </c>
      <c r="C161">
        <v>10</v>
      </c>
      <c r="D161">
        <v>10</v>
      </c>
      <c r="E161">
        <v>0.23799999999999999</v>
      </c>
      <c r="F161">
        <v>2381</v>
      </c>
      <c r="G161">
        <v>532</v>
      </c>
      <c r="H161">
        <v>0.1</v>
      </c>
    </row>
    <row r="162" spans="1:8" x14ac:dyDescent="0.25">
      <c r="A162" t="s">
        <v>23</v>
      </c>
      <c r="B162">
        <v>100</v>
      </c>
      <c r="C162">
        <v>10</v>
      </c>
      <c r="D162">
        <v>1</v>
      </c>
      <c r="E162">
        <v>0.218</v>
      </c>
      <c r="F162">
        <v>2069</v>
      </c>
      <c r="G162">
        <v>559</v>
      </c>
      <c r="H162">
        <v>0.2</v>
      </c>
    </row>
    <row r="163" spans="1:8" x14ac:dyDescent="0.25">
      <c r="A163" t="s">
        <v>23</v>
      </c>
      <c r="B163">
        <v>100</v>
      </c>
      <c r="C163">
        <v>10</v>
      </c>
      <c r="D163">
        <v>2</v>
      </c>
      <c r="E163">
        <v>0.255</v>
      </c>
      <c r="F163">
        <v>2473</v>
      </c>
      <c r="G163">
        <v>542</v>
      </c>
      <c r="H163">
        <v>0.2</v>
      </c>
    </row>
    <row r="164" spans="1:8" x14ac:dyDescent="0.25">
      <c r="A164" t="s">
        <v>23</v>
      </c>
      <c r="B164">
        <v>100</v>
      </c>
      <c r="C164">
        <v>10</v>
      </c>
      <c r="D164">
        <v>3</v>
      </c>
      <c r="E164">
        <v>0.185</v>
      </c>
      <c r="F164">
        <v>1408</v>
      </c>
      <c r="G164">
        <v>559</v>
      </c>
      <c r="H164">
        <v>0.2</v>
      </c>
    </row>
    <row r="165" spans="1:8" x14ac:dyDescent="0.25">
      <c r="A165" t="s">
        <v>23</v>
      </c>
      <c r="B165">
        <v>100</v>
      </c>
      <c r="C165">
        <v>10</v>
      </c>
      <c r="D165">
        <v>4</v>
      </c>
      <c r="E165">
        <v>0.189</v>
      </c>
      <c r="F165">
        <v>1413</v>
      </c>
      <c r="G165">
        <v>534</v>
      </c>
      <c r="H165">
        <v>0.2</v>
      </c>
    </row>
    <row r="166" spans="1:8" x14ac:dyDescent="0.25">
      <c r="A166" t="s">
        <v>23</v>
      </c>
      <c r="B166">
        <v>100</v>
      </c>
      <c r="C166">
        <v>10</v>
      </c>
      <c r="D166">
        <v>5</v>
      </c>
      <c r="E166">
        <v>0.184</v>
      </c>
      <c r="F166">
        <v>1783</v>
      </c>
      <c r="G166">
        <v>545</v>
      </c>
      <c r="H166">
        <v>0.2</v>
      </c>
    </row>
    <row r="167" spans="1:8" x14ac:dyDescent="0.25">
      <c r="A167" t="s">
        <v>23</v>
      </c>
      <c r="B167">
        <v>100</v>
      </c>
      <c r="C167">
        <v>10</v>
      </c>
      <c r="D167">
        <v>6</v>
      </c>
      <c r="E167">
        <v>0.17299999999999999</v>
      </c>
      <c r="F167">
        <v>1321</v>
      </c>
      <c r="G167">
        <v>542</v>
      </c>
      <c r="H167">
        <v>0.2</v>
      </c>
    </row>
    <row r="168" spans="1:8" x14ac:dyDescent="0.25">
      <c r="A168" t="s">
        <v>23</v>
      </c>
      <c r="B168">
        <v>100</v>
      </c>
      <c r="C168">
        <v>10</v>
      </c>
      <c r="D168">
        <v>7</v>
      </c>
      <c r="E168">
        <v>0.187</v>
      </c>
      <c r="F168">
        <v>1803</v>
      </c>
      <c r="G168">
        <v>563</v>
      </c>
      <c r="H168">
        <v>0.2</v>
      </c>
    </row>
    <row r="169" spans="1:8" x14ac:dyDescent="0.25">
      <c r="A169" t="s">
        <v>23</v>
      </c>
      <c r="B169">
        <v>100</v>
      </c>
      <c r="C169">
        <v>10</v>
      </c>
      <c r="D169">
        <v>8</v>
      </c>
      <c r="E169">
        <v>0.26700000000000002</v>
      </c>
      <c r="F169">
        <v>1963</v>
      </c>
      <c r="G169">
        <v>534</v>
      </c>
      <c r="H169">
        <v>0.2</v>
      </c>
    </row>
    <row r="170" spans="1:8" x14ac:dyDescent="0.25">
      <c r="A170" t="s">
        <v>23</v>
      </c>
      <c r="B170">
        <v>100</v>
      </c>
      <c r="C170">
        <v>10</v>
      </c>
      <c r="D170">
        <v>9</v>
      </c>
      <c r="E170">
        <v>0.14699999999999999</v>
      </c>
      <c r="F170">
        <v>1266</v>
      </c>
      <c r="G170">
        <v>539</v>
      </c>
      <c r="H170">
        <v>0.2</v>
      </c>
    </row>
    <row r="171" spans="1:8" x14ac:dyDescent="0.25">
      <c r="A171" t="s">
        <v>23</v>
      </c>
      <c r="B171">
        <v>100</v>
      </c>
      <c r="C171">
        <v>10</v>
      </c>
      <c r="D171">
        <v>10</v>
      </c>
      <c r="E171">
        <v>0.32</v>
      </c>
      <c r="F171">
        <v>3111</v>
      </c>
      <c r="G171">
        <v>541</v>
      </c>
      <c r="H171">
        <v>0.2</v>
      </c>
    </row>
    <row r="172" spans="1:8" x14ac:dyDescent="0.25">
      <c r="A172" t="s">
        <v>23</v>
      </c>
      <c r="B172">
        <v>100</v>
      </c>
      <c r="C172">
        <v>10</v>
      </c>
      <c r="D172">
        <v>1</v>
      </c>
      <c r="E172">
        <v>0.114</v>
      </c>
      <c r="F172">
        <v>1028</v>
      </c>
      <c r="G172">
        <v>586</v>
      </c>
      <c r="H172">
        <v>0.3</v>
      </c>
    </row>
    <row r="173" spans="1:8" x14ac:dyDescent="0.25">
      <c r="A173" t="s">
        <v>23</v>
      </c>
      <c r="B173">
        <v>100</v>
      </c>
      <c r="C173">
        <v>10</v>
      </c>
      <c r="D173">
        <v>2</v>
      </c>
      <c r="E173">
        <v>0.215</v>
      </c>
      <c r="F173">
        <v>1743</v>
      </c>
      <c r="G173">
        <v>568</v>
      </c>
      <c r="H173">
        <v>0.3</v>
      </c>
    </row>
    <row r="174" spans="1:8" x14ac:dyDescent="0.25">
      <c r="A174" t="s">
        <v>23</v>
      </c>
      <c r="B174">
        <v>100</v>
      </c>
      <c r="C174">
        <v>10</v>
      </c>
      <c r="D174">
        <v>3</v>
      </c>
      <c r="E174">
        <v>0.151</v>
      </c>
      <c r="F174">
        <v>1409</v>
      </c>
      <c r="G174">
        <v>560</v>
      </c>
      <c r="H174">
        <v>0.3</v>
      </c>
    </row>
    <row r="175" spans="1:8" x14ac:dyDescent="0.25">
      <c r="A175" t="s">
        <v>23</v>
      </c>
      <c r="B175">
        <v>100</v>
      </c>
      <c r="C175">
        <v>10</v>
      </c>
      <c r="D175">
        <v>4</v>
      </c>
      <c r="E175">
        <v>0.33100000000000002</v>
      </c>
      <c r="F175">
        <v>3129</v>
      </c>
      <c r="G175">
        <v>552</v>
      </c>
      <c r="H175">
        <v>0.3</v>
      </c>
    </row>
    <row r="176" spans="1:8" x14ac:dyDescent="0.25">
      <c r="A176" t="s">
        <v>23</v>
      </c>
      <c r="B176">
        <v>100</v>
      </c>
      <c r="C176">
        <v>10</v>
      </c>
      <c r="D176">
        <v>5</v>
      </c>
      <c r="E176">
        <v>0.129</v>
      </c>
      <c r="F176">
        <v>1193</v>
      </c>
      <c r="G176">
        <v>564</v>
      </c>
      <c r="H176">
        <v>0.3</v>
      </c>
    </row>
    <row r="177" spans="1:8" x14ac:dyDescent="0.25">
      <c r="A177" t="s">
        <v>23</v>
      </c>
      <c r="B177">
        <v>100</v>
      </c>
      <c r="C177">
        <v>10</v>
      </c>
      <c r="D177">
        <v>6</v>
      </c>
      <c r="E177">
        <v>0.311</v>
      </c>
      <c r="F177">
        <v>2618</v>
      </c>
      <c r="G177">
        <v>546</v>
      </c>
      <c r="H177">
        <v>0.3</v>
      </c>
    </row>
    <row r="178" spans="1:8" x14ac:dyDescent="0.25">
      <c r="A178" t="s">
        <v>23</v>
      </c>
      <c r="B178">
        <v>100</v>
      </c>
      <c r="C178">
        <v>10</v>
      </c>
      <c r="D178">
        <v>7</v>
      </c>
      <c r="E178">
        <v>0.14299999999999999</v>
      </c>
      <c r="F178">
        <v>1041</v>
      </c>
      <c r="G178">
        <v>541</v>
      </c>
      <c r="H178">
        <v>0.3</v>
      </c>
    </row>
    <row r="179" spans="1:8" x14ac:dyDescent="0.25">
      <c r="A179" t="s">
        <v>23</v>
      </c>
      <c r="B179">
        <v>100</v>
      </c>
      <c r="C179">
        <v>10</v>
      </c>
      <c r="D179">
        <v>8</v>
      </c>
      <c r="E179">
        <v>0.28299999999999997</v>
      </c>
      <c r="F179">
        <v>2100</v>
      </c>
      <c r="G179">
        <v>573</v>
      </c>
      <c r="H179">
        <v>0.3</v>
      </c>
    </row>
    <row r="180" spans="1:8" x14ac:dyDescent="0.25">
      <c r="A180" t="s">
        <v>23</v>
      </c>
      <c r="B180">
        <v>100</v>
      </c>
      <c r="C180">
        <v>10</v>
      </c>
      <c r="D180">
        <v>9</v>
      </c>
      <c r="E180">
        <v>0.16500000000000001</v>
      </c>
      <c r="F180">
        <v>1528</v>
      </c>
      <c r="G180">
        <v>556</v>
      </c>
      <c r="H180">
        <v>0.3</v>
      </c>
    </row>
    <row r="181" spans="1:8" x14ac:dyDescent="0.25">
      <c r="A181" t="s">
        <v>23</v>
      </c>
      <c r="B181">
        <v>100</v>
      </c>
      <c r="C181">
        <v>10</v>
      </c>
      <c r="D181">
        <v>10</v>
      </c>
      <c r="E181">
        <v>0.13700000000000001</v>
      </c>
      <c r="F181">
        <v>1329</v>
      </c>
      <c r="G181">
        <v>590</v>
      </c>
      <c r="H181">
        <v>0.3</v>
      </c>
    </row>
    <row r="182" spans="1:8" x14ac:dyDescent="0.25">
      <c r="A182" t="s">
        <v>23</v>
      </c>
      <c r="B182">
        <v>100</v>
      </c>
      <c r="C182">
        <v>10</v>
      </c>
      <c r="D182">
        <v>1</v>
      </c>
      <c r="E182">
        <v>0.16400000000000001</v>
      </c>
      <c r="F182">
        <v>1518</v>
      </c>
      <c r="G182">
        <v>580</v>
      </c>
      <c r="H182">
        <v>0.4</v>
      </c>
    </row>
    <row r="183" spans="1:8" x14ac:dyDescent="0.25">
      <c r="A183" t="s">
        <v>23</v>
      </c>
      <c r="B183">
        <v>100</v>
      </c>
      <c r="C183">
        <v>10</v>
      </c>
      <c r="D183">
        <v>2</v>
      </c>
      <c r="E183">
        <v>0.26100000000000001</v>
      </c>
      <c r="F183">
        <v>2485</v>
      </c>
      <c r="G183">
        <v>570</v>
      </c>
      <c r="H183">
        <v>0.4</v>
      </c>
    </row>
    <row r="184" spans="1:8" x14ac:dyDescent="0.25">
      <c r="A184" t="s">
        <v>23</v>
      </c>
      <c r="B184">
        <v>100</v>
      </c>
      <c r="C184">
        <v>10</v>
      </c>
      <c r="D184">
        <v>3</v>
      </c>
      <c r="E184">
        <v>0.2</v>
      </c>
      <c r="F184">
        <v>1526</v>
      </c>
      <c r="G184">
        <v>554</v>
      </c>
      <c r="H184">
        <v>0.4</v>
      </c>
    </row>
    <row r="185" spans="1:8" x14ac:dyDescent="0.25">
      <c r="A185" t="s">
        <v>23</v>
      </c>
      <c r="B185">
        <v>100</v>
      </c>
      <c r="C185">
        <v>10</v>
      </c>
      <c r="D185">
        <v>4</v>
      </c>
      <c r="E185">
        <v>0.114</v>
      </c>
      <c r="F185">
        <v>1059</v>
      </c>
      <c r="G185">
        <v>552</v>
      </c>
      <c r="H185">
        <v>0.4</v>
      </c>
    </row>
    <row r="186" spans="1:8" x14ac:dyDescent="0.25">
      <c r="A186" t="s">
        <v>23</v>
      </c>
      <c r="B186">
        <v>100</v>
      </c>
      <c r="C186">
        <v>10</v>
      </c>
      <c r="D186">
        <v>5</v>
      </c>
      <c r="E186">
        <v>0.157</v>
      </c>
      <c r="F186">
        <v>1083</v>
      </c>
      <c r="G186">
        <v>576</v>
      </c>
      <c r="H186">
        <v>0.4</v>
      </c>
    </row>
    <row r="187" spans="1:8" x14ac:dyDescent="0.25">
      <c r="A187" t="s">
        <v>23</v>
      </c>
      <c r="B187">
        <v>100</v>
      </c>
      <c r="C187">
        <v>10</v>
      </c>
      <c r="D187">
        <v>6</v>
      </c>
      <c r="E187">
        <v>0.14099999999999999</v>
      </c>
      <c r="F187">
        <v>1288</v>
      </c>
      <c r="G187">
        <v>542</v>
      </c>
      <c r="H187">
        <v>0.4</v>
      </c>
    </row>
    <row r="188" spans="1:8" x14ac:dyDescent="0.25">
      <c r="A188" t="s">
        <v>23</v>
      </c>
      <c r="B188">
        <v>100</v>
      </c>
      <c r="C188">
        <v>10</v>
      </c>
      <c r="D188">
        <v>7</v>
      </c>
      <c r="E188">
        <v>0.4</v>
      </c>
      <c r="F188">
        <v>3801</v>
      </c>
      <c r="G188">
        <v>549</v>
      </c>
      <c r="H188">
        <v>0.4</v>
      </c>
    </row>
    <row r="189" spans="1:8" x14ac:dyDescent="0.25">
      <c r="A189" t="s">
        <v>23</v>
      </c>
      <c r="B189">
        <v>100</v>
      </c>
      <c r="C189">
        <v>10</v>
      </c>
      <c r="D189">
        <v>8</v>
      </c>
      <c r="E189">
        <v>0.28299999999999997</v>
      </c>
      <c r="F189">
        <v>2677</v>
      </c>
      <c r="G189">
        <v>565</v>
      </c>
      <c r="H189">
        <v>0.4</v>
      </c>
    </row>
    <row r="190" spans="1:8" x14ac:dyDescent="0.25">
      <c r="A190" t="s">
        <v>23</v>
      </c>
      <c r="B190">
        <v>100</v>
      </c>
      <c r="C190">
        <v>10</v>
      </c>
      <c r="D190">
        <v>9</v>
      </c>
      <c r="E190">
        <v>0.20200000000000001</v>
      </c>
      <c r="F190">
        <v>1929</v>
      </c>
      <c r="G190">
        <v>573</v>
      </c>
      <c r="H190">
        <v>0.4</v>
      </c>
    </row>
    <row r="191" spans="1:8" x14ac:dyDescent="0.25">
      <c r="A191" t="s">
        <v>23</v>
      </c>
      <c r="B191">
        <v>100</v>
      </c>
      <c r="C191">
        <v>10</v>
      </c>
      <c r="D191">
        <v>10</v>
      </c>
      <c r="E191">
        <v>0.20399999999999999</v>
      </c>
      <c r="F191">
        <v>1972</v>
      </c>
      <c r="G191">
        <v>548</v>
      </c>
      <c r="H191">
        <v>0.4</v>
      </c>
    </row>
    <row r="192" spans="1:8" x14ac:dyDescent="0.25">
      <c r="A192" t="s">
        <v>23</v>
      </c>
      <c r="B192">
        <v>100</v>
      </c>
      <c r="C192">
        <v>10</v>
      </c>
      <c r="D192">
        <v>1</v>
      </c>
      <c r="E192">
        <v>0.20799999999999999</v>
      </c>
      <c r="F192">
        <v>1904</v>
      </c>
      <c r="G192">
        <v>536</v>
      </c>
      <c r="H192">
        <v>0.5</v>
      </c>
    </row>
    <row r="193" spans="1:8" x14ac:dyDescent="0.25">
      <c r="A193" t="s">
        <v>23</v>
      </c>
      <c r="B193">
        <v>100</v>
      </c>
      <c r="C193">
        <v>10</v>
      </c>
      <c r="D193">
        <v>2</v>
      </c>
      <c r="E193">
        <v>0.16200000000000001</v>
      </c>
      <c r="F193">
        <v>1484</v>
      </c>
      <c r="G193">
        <v>579</v>
      </c>
      <c r="H193">
        <v>0.5</v>
      </c>
    </row>
    <row r="194" spans="1:8" x14ac:dyDescent="0.25">
      <c r="A194" t="s">
        <v>23</v>
      </c>
      <c r="B194">
        <v>100</v>
      </c>
      <c r="C194">
        <v>10</v>
      </c>
      <c r="D194">
        <v>3</v>
      </c>
      <c r="E194">
        <v>0.38</v>
      </c>
      <c r="F194">
        <v>3649</v>
      </c>
      <c r="G194">
        <v>574</v>
      </c>
      <c r="H194">
        <v>0.5</v>
      </c>
    </row>
    <row r="195" spans="1:8" x14ac:dyDescent="0.25">
      <c r="A195" t="s">
        <v>23</v>
      </c>
      <c r="B195">
        <v>100</v>
      </c>
      <c r="C195">
        <v>10</v>
      </c>
      <c r="D195">
        <v>4</v>
      </c>
      <c r="E195">
        <v>0.307</v>
      </c>
      <c r="F195">
        <v>2264</v>
      </c>
      <c r="G195">
        <v>591</v>
      </c>
      <c r="H195">
        <v>0.5</v>
      </c>
    </row>
    <row r="196" spans="1:8" x14ac:dyDescent="0.25">
      <c r="A196" t="s">
        <v>23</v>
      </c>
      <c r="B196">
        <v>100</v>
      </c>
      <c r="C196">
        <v>10</v>
      </c>
      <c r="D196">
        <v>5</v>
      </c>
      <c r="E196">
        <v>0.22800000000000001</v>
      </c>
      <c r="F196">
        <v>2166</v>
      </c>
      <c r="G196">
        <v>582</v>
      </c>
      <c r="H196">
        <v>0.5</v>
      </c>
    </row>
    <row r="197" spans="1:8" x14ac:dyDescent="0.25">
      <c r="A197" t="s">
        <v>23</v>
      </c>
      <c r="B197">
        <v>100</v>
      </c>
      <c r="C197">
        <v>10</v>
      </c>
      <c r="D197">
        <v>6</v>
      </c>
      <c r="E197">
        <v>0.16700000000000001</v>
      </c>
      <c r="F197">
        <v>1595</v>
      </c>
      <c r="G197">
        <v>582</v>
      </c>
      <c r="H197">
        <v>0.5</v>
      </c>
    </row>
    <row r="198" spans="1:8" x14ac:dyDescent="0.25">
      <c r="A198" t="s">
        <v>23</v>
      </c>
      <c r="B198">
        <v>100</v>
      </c>
      <c r="C198">
        <v>10</v>
      </c>
      <c r="D198">
        <v>7</v>
      </c>
      <c r="E198">
        <v>0.16500000000000001</v>
      </c>
      <c r="F198">
        <v>1533</v>
      </c>
      <c r="G198">
        <v>567</v>
      </c>
      <c r="H198">
        <v>0.5</v>
      </c>
    </row>
    <row r="199" spans="1:8" x14ac:dyDescent="0.25">
      <c r="A199" t="s">
        <v>23</v>
      </c>
      <c r="B199">
        <v>100</v>
      </c>
      <c r="C199">
        <v>10</v>
      </c>
      <c r="D199">
        <v>8</v>
      </c>
      <c r="E199">
        <v>0.159</v>
      </c>
      <c r="F199">
        <v>1467</v>
      </c>
      <c r="G199">
        <v>550</v>
      </c>
      <c r="H199">
        <v>0.5</v>
      </c>
    </row>
    <row r="200" spans="1:8" x14ac:dyDescent="0.25">
      <c r="A200" t="s">
        <v>23</v>
      </c>
      <c r="B200">
        <v>100</v>
      </c>
      <c r="C200">
        <v>10</v>
      </c>
      <c r="D200">
        <v>9</v>
      </c>
      <c r="E200">
        <v>0.14799999999999999</v>
      </c>
      <c r="F200">
        <v>1228</v>
      </c>
      <c r="G200">
        <v>554</v>
      </c>
      <c r="H200">
        <v>0.5</v>
      </c>
    </row>
    <row r="201" spans="1:8" x14ac:dyDescent="0.25">
      <c r="A201" t="s">
        <v>23</v>
      </c>
      <c r="B201">
        <v>100</v>
      </c>
      <c r="C201">
        <v>10</v>
      </c>
      <c r="D201">
        <v>10</v>
      </c>
      <c r="E201">
        <v>0.36699999999999999</v>
      </c>
      <c r="F201">
        <v>3303</v>
      </c>
      <c r="G201">
        <v>563</v>
      </c>
      <c r="H201">
        <v>0.5</v>
      </c>
    </row>
    <row r="202" spans="1:8" x14ac:dyDescent="0.25">
      <c r="A202" t="s">
        <v>23</v>
      </c>
      <c r="B202">
        <v>100</v>
      </c>
      <c r="C202">
        <v>10</v>
      </c>
      <c r="D202">
        <v>1</v>
      </c>
      <c r="E202">
        <v>0.16300000000000001</v>
      </c>
      <c r="F202">
        <v>1517</v>
      </c>
      <c r="G202">
        <v>579</v>
      </c>
      <c r="H202">
        <v>0.6</v>
      </c>
    </row>
    <row r="203" spans="1:8" x14ac:dyDescent="0.25">
      <c r="A203" t="s">
        <v>23</v>
      </c>
      <c r="B203">
        <v>100</v>
      </c>
      <c r="C203">
        <v>10</v>
      </c>
      <c r="D203">
        <v>2</v>
      </c>
      <c r="E203">
        <v>0.193</v>
      </c>
      <c r="F203">
        <v>1804</v>
      </c>
      <c r="G203">
        <v>549</v>
      </c>
      <c r="H203">
        <v>0.6</v>
      </c>
    </row>
    <row r="204" spans="1:8" x14ac:dyDescent="0.25">
      <c r="A204" t="s">
        <v>23</v>
      </c>
      <c r="B204">
        <v>100</v>
      </c>
      <c r="C204">
        <v>10</v>
      </c>
      <c r="D204">
        <v>3</v>
      </c>
      <c r="E204">
        <v>0.13300000000000001</v>
      </c>
      <c r="F204">
        <v>1213</v>
      </c>
      <c r="G204">
        <v>610</v>
      </c>
      <c r="H204">
        <v>0.6</v>
      </c>
    </row>
    <row r="205" spans="1:8" x14ac:dyDescent="0.25">
      <c r="A205" t="s">
        <v>23</v>
      </c>
      <c r="B205">
        <v>100</v>
      </c>
      <c r="C205">
        <v>10</v>
      </c>
      <c r="D205">
        <v>4</v>
      </c>
      <c r="E205">
        <v>0.32300000000000001</v>
      </c>
      <c r="F205">
        <v>3019</v>
      </c>
      <c r="G205">
        <v>574</v>
      </c>
      <c r="H205">
        <v>0.6</v>
      </c>
    </row>
    <row r="206" spans="1:8" x14ac:dyDescent="0.25">
      <c r="A206" t="s">
        <v>23</v>
      </c>
      <c r="B206">
        <v>100</v>
      </c>
      <c r="C206">
        <v>10</v>
      </c>
      <c r="D206">
        <v>5</v>
      </c>
      <c r="E206">
        <v>0.33300000000000002</v>
      </c>
      <c r="F206">
        <v>3090</v>
      </c>
      <c r="G206">
        <v>580</v>
      </c>
      <c r="H206">
        <v>0.6</v>
      </c>
    </row>
    <row r="207" spans="1:8" x14ac:dyDescent="0.25">
      <c r="A207" t="s">
        <v>23</v>
      </c>
      <c r="B207">
        <v>100</v>
      </c>
      <c r="C207">
        <v>10</v>
      </c>
      <c r="D207">
        <v>6</v>
      </c>
      <c r="E207">
        <v>0.113</v>
      </c>
      <c r="F207">
        <v>1074</v>
      </c>
      <c r="G207">
        <v>591</v>
      </c>
      <c r="H207">
        <v>0.6</v>
      </c>
    </row>
    <row r="208" spans="1:8" x14ac:dyDescent="0.25">
      <c r="A208" t="s">
        <v>23</v>
      </c>
      <c r="B208">
        <v>100</v>
      </c>
      <c r="C208">
        <v>10</v>
      </c>
      <c r="D208">
        <v>7</v>
      </c>
      <c r="E208">
        <v>0.27900000000000003</v>
      </c>
      <c r="F208">
        <v>2636</v>
      </c>
      <c r="G208">
        <v>591</v>
      </c>
      <c r="H208">
        <v>0.6</v>
      </c>
    </row>
    <row r="209" spans="1:8" x14ac:dyDescent="0.25">
      <c r="A209" t="s">
        <v>23</v>
      </c>
      <c r="B209">
        <v>100</v>
      </c>
      <c r="C209">
        <v>10</v>
      </c>
      <c r="D209">
        <v>8</v>
      </c>
      <c r="E209">
        <v>0.22</v>
      </c>
      <c r="F209">
        <v>2120</v>
      </c>
      <c r="G209">
        <v>567</v>
      </c>
      <c r="H209">
        <v>0.6</v>
      </c>
    </row>
    <row r="210" spans="1:8" x14ac:dyDescent="0.25">
      <c r="A210" t="s">
        <v>23</v>
      </c>
      <c r="B210">
        <v>100</v>
      </c>
      <c r="C210">
        <v>10</v>
      </c>
      <c r="D210">
        <v>9</v>
      </c>
      <c r="E210">
        <v>0.113</v>
      </c>
      <c r="F210">
        <v>1071</v>
      </c>
      <c r="G210">
        <v>586</v>
      </c>
      <c r="H210">
        <v>0.6</v>
      </c>
    </row>
    <row r="211" spans="1:8" x14ac:dyDescent="0.25">
      <c r="A211" t="s">
        <v>23</v>
      </c>
      <c r="B211">
        <v>100</v>
      </c>
      <c r="C211">
        <v>10</v>
      </c>
      <c r="D211">
        <v>10</v>
      </c>
      <c r="E211">
        <v>0.17</v>
      </c>
      <c r="F211">
        <v>1571</v>
      </c>
      <c r="G211">
        <v>593</v>
      </c>
      <c r="H211">
        <v>0.6</v>
      </c>
    </row>
    <row r="212" spans="1:8" x14ac:dyDescent="0.25">
      <c r="A212" t="s">
        <v>23</v>
      </c>
      <c r="B212">
        <v>100</v>
      </c>
      <c r="C212">
        <v>10</v>
      </c>
      <c r="D212">
        <v>1</v>
      </c>
      <c r="E212">
        <v>0.11600000000000001</v>
      </c>
      <c r="F212">
        <v>1094</v>
      </c>
      <c r="G212">
        <v>582</v>
      </c>
      <c r="H212">
        <v>0.7</v>
      </c>
    </row>
    <row r="213" spans="1:8" x14ac:dyDescent="0.25">
      <c r="A213" t="s">
        <v>23</v>
      </c>
      <c r="B213">
        <v>100</v>
      </c>
      <c r="C213">
        <v>10</v>
      </c>
      <c r="D213">
        <v>2</v>
      </c>
      <c r="E213">
        <v>0.23799999999999999</v>
      </c>
      <c r="F213">
        <v>2295</v>
      </c>
      <c r="G213">
        <v>567</v>
      </c>
      <c r="H213">
        <v>0.7</v>
      </c>
    </row>
    <row r="214" spans="1:8" x14ac:dyDescent="0.25">
      <c r="A214" t="s">
        <v>23</v>
      </c>
      <c r="B214">
        <v>100</v>
      </c>
      <c r="C214">
        <v>10</v>
      </c>
      <c r="D214">
        <v>3</v>
      </c>
      <c r="E214">
        <v>0.35199999999999998</v>
      </c>
      <c r="F214">
        <v>2364</v>
      </c>
      <c r="G214">
        <v>557</v>
      </c>
      <c r="H214">
        <v>0.7</v>
      </c>
    </row>
    <row r="215" spans="1:8" x14ac:dyDescent="0.25">
      <c r="A215" t="s">
        <v>23</v>
      </c>
      <c r="B215">
        <v>100</v>
      </c>
      <c r="C215">
        <v>10</v>
      </c>
      <c r="D215">
        <v>4</v>
      </c>
      <c r="E215">
        <v>0.14799999999999999</v>
      </c>
      <c r="F215">
        <v>1429</v>
      </c>
      <c r="G215">
        <v>591</v>
      </c>
      <c r="H215">
        <v>0.7</v>
      </c>
    </row>
    <row r="216" spans="1:8" x14ac:dyDescent="0.25">
      <c r="A216" t="s">
        <v>23</v>
      </c>
      <c r="B216">
        <v>100</v>
      </c>
      <c r="C216">
        <v>10</v>
      </c>
      <c r="D216">
        <v>5</v>
      </c>
      <c r="E216">
        <v>0.28599999999999998</v>
      </c>
      <c r="F216">
        <v>2744</v>
      </c>
      <c r="G216">
        <v>579</v>
      </c>
      <c r="H216">
        <v>0.7</v>
      </c>
    </row>
    <row r="217" spans="1:8" x14ac:dyDescent="0.25">
      <c r="A217" t="s">
        <v>23</v>
      </c>
      <c r="B217">
        <v>100</v>
      </c>
      <c r="C217">
        <v>10</v>
      </c>
      <c r="D217">
        <v>6</v>
      </c>
      <c r="E217">
        <v>0.379</v>
      </c>
      <c r="F217">
        <v>2890</v>
      </c>
      <c r="G217">
        <v>559</v>
      </c>
      <c r="H217">
        <v>0.7</v>
      </c>
    </row>
    <row r="218" spans="1:8" x14ac:dyDescent="0.25">
      <c r="A218" t="s">
        <v>23</v>
      </c>
      <c r="B218">
        <v>100</v>
      </c>
      <c r="C218">
        <v>10</v>
      </c>
      <c r="D218">
        <v>7</v>
      </c>
      <c r="E218">
        <v>0.186</v>
      </c>
      <c r="F218">
        <v>1442</v>
      </c>
      <c r="G218">
        <v>601</v>
      </c>
      <c r="H218">
        <v>0.7</v>
      </c>
    </row>
    <row r="219" spans="1:8" x14ac:dyDescent="0.25">
      <c r="A219" t="s">
        <v>23</v>
      </c>
      <c r="B219">
        <v>100</v>
      </c>
      <c r="C219">
        <v>10</v>
      </c>
      <c r="D219">
        <v>8</v>
      </c>
      <c r="E219">
        <v>0.16</v>
      </c>
      <c r="F219">
        <v>1230</v>
      </c>
      <c r="G219">
        <v>585</v>
      </c>
      <c r="H219">
        <v>0.7</v>
      </c>
    </row>
    <row r="220" spans="1:8" x14ac:dyDescent="0.25">
      <c r="A220" t="s">
        <v>23</v>
      </c>
      <c r="B220">
        <v>100</v>
      </c>
      <c r="C220">
        <v>10</v>
      </c>
      <c r="D220">
        <v>9</v>
      </c>
      <c r="E220">
        <v>0.13600000000000001</v>
      </c>
      <c r="F220">
        <v>1305</v>
      </c>
      <c r="G220">
        <v>579</v>
      </c>
      <c r="H220">
        <v>0.7</v>
      </c>
    </row>
    <row r="221" spans="1:8" x14ac:dyDescent="0.25">
      <c r="A221" t="s">
        <v>23</v>
      </c>
      <c r="B221">
        <v>100</v>
      </c>
      <c r="C221">
        <v>10</v>
      </c>
      <c r="D221">
        <v>10</v>
      </c>
      <c r="E221">
        <v>0.28999999999999998</v>
      </c>
      <c r="F221">
        <v>2843</v>
      </c>
      <c r="G221">
        <v>572</v>
      </c>
      <c r="H221">
        <v>0.7</v>
      </c>
    </row>
    <row r="222" spans="1:8" x14ac:dyDescent="0.25">
      <c r="A222" t="s">
        <v>23</v>
      </c>
      <c r="B222">
        <v>100</v>
      </c>
      <c r="C222">
        <v>10</v>
      </c>
      <c r="D222">
        <v>1</v>
      </c>
      <c r="E222">
        <v>0.16700000000000001</v>
      </c>
      <c r="F222">
        <v>1310</v>
      </c>
      <c r="G222">
        <v>589</v>
      </c>
      <c r="H222">
        <v>0.8</v>
      </c>
    </row>
    <row r="223" spans="1:8" x14ac:dyDescent="0.25">
      <c r="A223" t="s">
        <v>23</v>
      </c>
      <c r="B223">
        <v>100</v>
      </c>
      <c r="C223">
        <v>10</v>
      </c>
      <c r="D223">
        <v>2</v>
      </c>
      <c r="E223">
        <v>0.33700000000000002</v>
      </c>
      <c r="F223">
        <v>1751</v>
      </c>
      <c r="G223">
        <v>600</v>
      </c>
      <c r="H223">
        <v>0.8</v>
      </c>
    </row>
    <row r="224" spans="1:8" x14ac:dyDescent="0.25">
      <c r="A224" t="s">
        <v>23</v>
      </c>
      <c r="B224">
        <v>100</v>
      </c>
      <c r="C224">
        <v>10</v>
      </c>
      <c r="D224">
        <v>3</v>
      </c>
      <c r="E224">
        <v>0.11</v>
      </c>
      <c r="F224">
        <v>1067</v>
      </c>
      <c r="G224">
        <v>584</v>
      </c>
      <c r="H224">
        <v>0.8</v>
      </c>
    </row>
    <row r="225" spans="1:8" x14ac:dyDescent="0.25">
      <c r="A225" t="s">
        <v>23</v>
      </c>
      <c r="B225">
        <v>100</v>
      </c>
      <c r="C225">
        <v>10</v>
      </c>
      <c r="D225">
        <v>4</v>
      </c>
      <c r="E225">
        <v>0.19600000000000001</v>
      </c>
      <c r="F225">
        <v>1957</v>
      </c>
      <c r="G225">
        <v>558</v>
      </c>
      <c r="H225">
        <v>0.8</v>
      </c>
    </row>
    <row r="226" spans="1:8" x14ac:dyDescent="0.25">
      <c r="A226" t="s">
        <v>23</v>
      </c>
      <c r="B226">
        <v>100</v>
      </c>
      <c r="C226">
        <v>10</v>
      </c>
      <c r="D226">
        <v>5</v>
      </c>
      <c r="E226">
        <v>0.20399999999999999</v>
      </c>
      <c r="F226">
        <v>1976</v>
      </c>
      <c r="G226">
        <v>604</v>
      </c>
      <c r="H226">
        <v>0.8</v>
      </c>
    </row>
    <row r="227" spans="1:8" x14ac:dyDescent="0.25">
      <c r="A227" t="s">
        <v>23</v>
      </c>
      <c r="B227">
        <v>100</v>
      </c>
      <c r="C227">
        <v>10</v>
      </c>
      <c r="D227">
        <v>6</v>
      </c>
      <c r="E227">
        <v>0.129</v>
      </c>
      <c r="F227">
        <v>1229</v>
      </c>
      <c r="G227">
        <v>601</v>
      </c>
      <c r="H227">
        <v>0.8</v>
      </c>
    </row>
    <row r="228" spans="1:8" x14ac:dyDescent="0.25">
      <c r="A228" t="s">
        <v>23</v>
      </c>
      <c r="B228">
        <v>100</v>
      </c>
      <c r="C228">
        <v>10</v>
      </c>
      <c r="D228">
        <v>7</v>
      </c>
      <c r="E228">
        <v>0.24299999999999999</v>
      </c>
      <c r="F228">
        <v>2121</v>
      </c>
      <c r="G228">
        <v>608</v>
      </c>
      <c r="H228">
        <v>0.8</v>
      </c>
    </row>
    <row r="229" spans="1:8" x14ac:dyDescent="0.25">
      <c r="A229" t="s">
        <v>23</v>
      </c>
      <c r="B229">
        <v>100</v>
      </c>
      <c r="C229">
        <v>10</v>
      </c>
      <c r="D229">
        <v>8</v>
      </c>
      <c r="E229">
        <v>0.216</v>
      </c>
      <c r="F229">
        <v>1813</v>
      </c>
      <c r="G229">
        <v>592</v>
      </c>
      <c r="H229">
        <v>0.8</v>
      </c>
    </row>
    <row r="230" spans="1:8" x14ac:dyDescent="0.25">
      <c r="A230" t="s">
        <v>23</v>
      </c>
      <c r="B230">
        <v>100</v>
      </c>
      <c r="C230">
        <v>10</v>
      </c>
      <c r="D230">
        <v>9</v>
      </c>
      <c r="E230">
        <v>0.13</v>
      </c>
      <c r="F230">
        <v>1152</v>
      </c>
      <c r="G230">
        <v>594</v>
      </c>
      <c r="H230">
        <v>0.8</v>
      </c>
    </row>
    <row r="231" spans="1:8" x14ac:dyDescent="0.25">
      <c r="A231" t="s">
        <v>23</v>
      </c>
      <c r="B231">
        <v>100</v>
      </c>
      <c r="C231">
        <v>10</v>
      </c>
      <c r="D231">
        <v>10</v>
      </c>
      <c r="E231">
        <v>0.17599999999999999</v>
      </c>
      <c r="F231">
        <v>1267</v>
      </c>
      <c r="G231">
        <v>600</v>
      </c>
      <c r="H231">
        <v>0.8</v>
      </c>
    </row>
    <row r="232" spans="1:8" x14ac:dyDescent="0.25">
      <c r="A232" t="s">
        <v>23</v>
      </c>
      <c r="B232">
        <v>100</v>
      </c>
      <c r="C232">
        <v>10</v>
      </c>
      <c r="D232">
        <v>1</v>
      </c>
      <c r="E232">
        <v>0.20399999999999999</v>
      </c>
      <c r="F232">
        <v>1749</v>
      </c>
      <c r="G232">
        <v>595</v>
      </c>
      <c r="H232">
        <v>0.9</v>
      </c>
    </row>
    <row r="233" spans="1:8" x14ac:dyDescent="0.25">
      <c r="A233" t="s">
        <v>23</v>
      </c>
      <c r="B233">
        <v>100</v>
      </c>
      <c r="C233">
        <v>10</v>
      </c>
      <c r="D233">
        <v>2</v>
      </c>
      <c r="E233">
        <v>0.30199999999999999</v>
      </c>
      <c r="F233">
        <v>2613</v>
      </c>
      <c r="G233">
        <v>579</v>
      </c>
      <c r="H233">
        <v>0.9</v>
      </c>
    </row>
    <row r="234" spans="1:8" x14ac:dyDescent="0.25">
      <c r="A234" t="s">
        <v>23</v>
      </c>
      <c r="B234">
        <v>100</v>
      </c>
      <c r="C234">
        <v>10</v>
      </c>
      <c r="D234">
        <v>3</v>
      </c>
      <c r="E234">
        <v>0.19900000000000001</v>
      </c>
      <c r="F234">
        <v>1527</v>
      </c>
      <c r="G234">
        <v>562</v>
      </c>
      <c r="H234">
        <v>0.9</v>
      </c>
    </row>
    <row r="235" spans="1:8" x14ac:dyDescent="0.25">
      <c r="A235" t="s">
        <v>23</v>
      </c>
      <c r="B235">
        <v>100</v>
      </c>
      <c r="C235">
        <v>10</v>
      </c>
      <c r="D235">
        <v>4</v>
      </c>
      <c r="E235">
        <v>0.627</v>
      </c>
      <c r="F235">
        <v>3724</v>
      </c>
      <c r="G235">
        <v>571</v>
      </c>
      <c r="H235">
        <v>0.9</v>
      </c>
    </row>
    <row r="236" spans="1:8" x14ac:dyDescent="0.25">
      <c r="A236" t="s">
        <v>23</v>
      </c>
      <c r="B236">
        <v>100</v>
      </c>
      <c r="C236">
        <v>10</v>
      </c>
      <c r="D236">
        <v>5</v>
      </c>
      <c r="E236">
        <v>0.30399999999999999</v>
      </c>
      <c r="F236">
        <v>2691</v>
      </c>
      <c r="G236">
        <v>598</v>
      </c>
      <c r="H236">
        <v>0.9</v>
      </c>
    </row>
    <row r="237" spans="1:8" x14ac:dyDescent="0.25">
      <c r="A237" t="s">
        <v>23</v>
      </c>
      <c r="B237">
        <v>100</v>
      </c>
      <c r="C237">
        <v>10</v>
      </c>
      <c r="D237">
        <v>6</v>
      </c>
      <c r="E237">
        <v>0.17</v>
      </c>
      <c r="F237">
        <v>1671</v>
      </c>
      <c r="G237">
        <v>577</v>
      </c>
      <c r="H237">
        <v>0.9</v>
      </c>
    </row>
    <row r="238" spans="1:8" x14ac:dyDescent="0.25">
      <c r="A238" t="s">
        <v>23</v>
      </c>
      <c r="B238">
        <v>100</v>
      </c>
      <c r="C238">
        <v>10</v>
      </c>
      <c r="D238">
        <v>7</v>
      </c>
      <c r="E238">
        <v>0.159</v>
      </c>
      <c r="F238">
        <v>1397</v>
      </c>
      <c r="G238">
        <v>591</v>
      </c>
      <c r="H238">
        <v>0.9</v>
      </c>
    </row>
    <row r="239" spans="1:8" x14ac:dyDescent="0.25">
      <c r="A239" t="s">
        <v>23</v>
      </c>
      <c r="B239">
        <v>100</v>
      </c>
      <c r="C239">
        <v>10</v>
      </c>
      <c r="D239">
        <v>8</v>
      </c>
      <c r="E239">
        <v>0.184</v>
      </c>
      <c r="F239">
        <v>1781</v>
      </c>
      <c r="G239">
        <v>585</v>
      </c>
      <c r="H239">
        <v>0.9</v>
      </c>
    </row>
    <row r="240" spans="1:8" x14ac:dyDescent="0.25">
      <c r="A240" t="s">
        <v>23</v>
      </c>
      <c r="B240">
        <v>100</v>
      </c>
      <c r="C240">
        <v>10</v>
      </c>
      <c r="D240">
        <v>9</v>
      </c>
      <c r="E240">
        <v>0.26100000000000001</v>
      </c>
      <c r="F240">
        <v>2560</v>
      </c>
      <c r="G240">
        <v>588</v>
      </c>
      <c r="H240">
        <v>0.9</v>
      </c>
    </row>
    <row r="241" spans="1:8" x14ac:dyDescent="0.25">
      <c r="A241" t="s">
        <v>23</v>
      </c>
      <c r="B241">
        <v>100</v>
      </c>
      <c r="C241">
        <v>10</v>
      </c>
      <c r="D241">
        <v>10</v>
      </c>
      <c r="E241">
        <v>0.26900000000000002</v>
      </c>
      <c r="F241">
        <v>2763</v>
      </c>
      <c r="G241">
        <v>591</v>
      </c>
      <c r="H241">
        <v>0.9</v>
      </c>
    </row>
    <row r="242" spans="1:8" x14ac:dyDescent="0.25">
      <c r="A242" t="s">
        <v>23</v>
      </c>
      <c r="B242">
        <v>89</v>
      </c>
      <c r="C242">
        <v>20</v>
      </c>
      <c r="D242">
        <v>1</v>
      </c>
      <c r="E242">
        <v>0.23400000000000001</v>
      </c>
      <c r="F242">
        <v>1642</v>
      </c>
      <c r="G242">
        <v>301</v>
      </c>
      <c r="H242">
        <v>0.1</v>
      </c>
    </row>
    <row r="243" spans="1:8" x14ac:dyDescent="0.25">
      <c r="A243" t="s">
        <v>23</v>
      </c>
      <c r="B243">
        <v>89</v>
      </c>
      <c r="C243">
        <v>20</v>
      </c>
      <c r="D243">
        <v>2</v>
      </c>
      <c r="E243">
        <v>0.307</v>
      </c>
      <c r="F243">
        <v>2167</v>
      </c>
      <c r="G243">
        <v>293</v>
      </c>
      <c r="H243">
        <v>0.1</v>
      </c>
    </row>
    <row r="244" spans="1:8" x14ac:dyDescent="0.25">
      <c r="A244" t="s">
        <v>23</v>
      </c>
      <c r="B244">
        <v>89</v>
      </c>
      <c r="C244">
        <v>20</v>
      </c>
      <c r="D244">
        <v>3</v>
      </c>
      <c r="E244">
        <v>0.59899999999999998</v>
      </c>
      <c r="F244">
        <v>4087</v>
      </c>
      <c r="G244">
        <v>292</v>
      </c>
      <c r="H244">
        <v>0.1</v>
      </c>
    </row>
    <row r="245" spans="1:8" x14ac:dyDescent="0.25">
      <c r="A245" t="s">
        <v>23</v>
      </c>
      <c r="B245">
        <v>89</v>
      </c>
      <c r="C245">
        <v>20</v>
      </c>
      <c r="D245">
        <v>4</v>
      </c>
      <c r="E245">
        <v>0.17299999999999999</v>
      </c>
      <c r="F245">
        <v>1217</v>
      </c>
      <c r="G245">
        <v>300</v>
      </c>
      <c r="H245">
        <v>0.1</v>
      </c>
    </row>
    <row r="246" spans="1:8" x14ac:dyDescent="0.25">
      <c r="A246" t="s">
        <v>23</v>
      </c>
      <c r="B246">
        <v>89</v>
      </c>
      <c r="C246">
        <v>20</v>
      </c>
      <c r="D246">
        <v>5</v>
      </c>
      <c r="E246">
        <v>0.17499999999999999</v>
      </c>
      <c r="F246">
        <v>1232</v>
      </c>
      <c r="G246">
        <v>285</v>
      </c>
      <c r="H246">
        <v>0.1</v>
      </c>
    </row>
    <row r="247" spans="1:8" x14ac:dyDescent="0.25">
      <c r="A247" t="s">
        <v>23</v>
      </c>
      <c r="B247">
        <v>89</v>
      </c>
      <c r="C247">
        <v>20</v>
      </c>
      <c r="D247">
        <v>6</v>
      </c>
      <c r="E247">
        <v>0.17</v>
      </c>
      <c r="F247">
        <v>1232</v>
      </c>
      <c r="G247">
        <v>313</v>
      </c>
      <c r="H247">
        <v>0.1</v>
      </c>
    </row>
    <row r="248" spans="1:8" x14ac:dyDescent="0.25">
      <c r="A248" t="s">
        <v>23</v>
      </c>
      <c r="B248">
        <v>89</v>
      </c>
      <c r="C248">
        <v>20</v>
      </c>
      <c r="D248">
        <v>7</v>
      </c>
      <c r="E248">
        <v>0.27300000000000002</v>
      </c>
      <c r="F248">
        <v>1974</v>
      </c>
      <c r="G248">
        <v>292</v>
      </c>
      <c r="H248">
        <v>0.1</v>
      </c>
    </row>
    <row r="249" spans="1:8" x14ac:dyDescent="0.25">
      <c r="A249" t="s">
        <v>23</v>
      </c>
      <c r="B249">
        <v>89</v>
      </c>
      <c r="C249">
        <v>20</v>
      </c>
      <c r="D249">
        <v>8</v>
      </c>
      <c r="E249">
        <v>0.26200000000000001</v>
      </c>
      <c r="F249">
        <v>1895</v>
      </c>
      <c r="G249">
        <v>295</v>
      </c>
      <c r="H249">
        <v>0.1</v>
      </c>
    </row>
    <row r="250" spans="1:8" x14ac:dyDescent="0.25">
      <c r="A250" t="s">
        <v>23</v>
      </c>
      <c r="B250">
        <v>89</v>
      </c>
      <c r="C250">
        <v>20</v>
      </c>
      <c r="D250">
        <v>9</v>
      </c>
      <c r="E250">
        <v>0.32800000000000001</v>
      </c>
      <c r="F250">
        <v>2342</v>
      </c>
      <c r="G250">
        <v>287</v>
      </c>
      <c r="H250">
        <v>0.1</v>
      </c>
    </row>
    <row r="251" spans="1:8" x14ac:dyDescent="0.25">
      <c r="A251" t="s">
        <v>23</v>
      </c>
      <c r="B251">
        <v>89</v>
      </c>
      <c r="C251">
        <v>20</v>
      </c>
      <c r="D251">
        <v>10</v>
      </c>
      <c r="E251">
        <v>0.40899999999999997</v>
      </c>
      <c r="F251">
        <v>2884</v>
      </c>
      <c r="G251">
        <v>287</v>
      </c>
      <c r="H251">
        <v>0.1</v>
      </c>
    </row>
    <row r="252" spans="1:8" x14ac:dyDescent="0.25">
      <c r="A252" t="s">
        <v>23</v>
      </c>
      <c r="B252">
        <v>89</v>
      </c>
      <c r="C252">
        <v>20</v>
      </c>
      <c r="D252">
        <v>1</v>
      </c>
      <c r="E252">
        <v>0.18099999999999999</v>
      </c>
      <c r="F252">
        <v>1203</v>
      </c>
      <c r="G252">
        <v>319</v>
      </c>
      <c r="H252">
        <v>0.2</v>
      </c>
    </row>
    <row r="253" spans="1:8" x14ac:dyDescent="0.25">
      <c r="A253" t="s">
        <v>23</v>
      </c>
      <c r="B253">
        <v>89</v>
      </c>
      <c r="C253">
        <v>20</v>
      </c>
      <c r="D253">
        <v>2</v>
      </c>
      <c r="E253">
        <v>0.35799999999999998</v>
      </c>
      <c r="F253">
        <v>2578</v>
      </c>
      <c r="G253">
        <v>307</v>
      </c>
      <c r="H253">
        <v>0.2</v>
      </c>
    </row>
    <row r="254" spans="1:8" x14ac:dyDescent="0.25">
      <c r="A254" t="s">
        <v>23</v>
      </c>
      <c r="B254">
        <v>89</v>
      </c>
      <c r="C254">
        <v>20</v>
      </c>
      <c r="D254">
        <v>3</v>
      </c>
      <c r="E254">
        <v>0.42499999999999999</v>
      </c>
      <c r="F254">
        <v>2426</v>
      </c>
      <c r="G254">
        <v>285</v>
      </c>
      <c r="H254">
        <v>0.2</v>
      </c>
    </row>
    <row r="255" spans="1:8" x14ac:dyDescent="0.25">
      <c r="A255" t="s">
        <v>23</v>
      </c>
      <c r="B255">
        <v>89</v>
      </c>
      <c r="C255">
        <v>20</v>
      </c>
      <c r="D255">
        <v>4</v>
      </c>
      <c r="E255">
        <v>0.26900000000000002</v>
      </c>
      <c r="F255">
        <v>1925</v>
      </c>
      <c r="G255">
        <v>310</v>
      </c>
      <c r="H255">
        <v>0.2</v>
      </c>
    </row>
    <row r="256" spans="1:8" x14ac:dyDescent="0.25">
      <c r="A256" t="s">
        <v>23</v>
      </c>
      <c r="B256">
        <v>89</v>
      </c>
      <c r="C256">
        <v>20</v>
      </c>
      <c r="D256">
        <v>5</v>
      </c>
      <c r="E256">
        <v>0.39400000000000002</v>
      </c>
      <c r="F256">
        <v>2827</v>
      </c>
      <c r="G256">
        <v>303</v>
      </c>
      <c r="H256">
        <v>0.2</v>
      </c>
    </row>
    <row r="257" spans="1:8" x14ac:dyDescent="0.25">
      <c r="A257" t="s">
        <v>23</v>
      </c>
      <c r="B257">
        <v>89</v>
      </c>
      <c r="C257">
        <v>20</v>
      </c>
      <c r="D257">
        <v>6</v>
      </c>
      <c r="E257">
        <v>0.25900000000000001</v>
      </c>
      <c r="F257">
        <v>1863</v>
      </c>
      <c r="G257">
        <v>301</v>
      </c>
      <c r="H257">
        <v>0.2</v>
      </c>
    </row>
    <row r="258" spans="1:8" x14ac:dyDescent="0.25">
      <c r="A258" t="s">
        <v>23</v>
      </c>
      <c r="B258">
        <v>89</v>
      </c>
      <c r="C258">
        <v>20</v>
      </c>
      <c r="D258">
        <v>7</v>
      </c>
      <c r="E258">
        <v>0.36499999999999999</v>
      </c>
      <c r="F258">
        <v>2617</v>
      </c>
      <c r="G258">
        <v>316</v>
      </c>
      <c r="H258">
        <v>0.2</v>
      </c>
    </row>
    <row r="259" spans="1:8" x14ac:dyDescent="0.25">
      <c r="A259" t="s">
        <v>23</v>
      </c>
      <c r="B259">
        <v>89</v>
      </c>
      <c r="C259">
        <v>20</v>
      </c>
      <c r="D259">
        <v>8</v>
      </c>
      <c r="E259">
        <v>0.17499999999999999</v>
      </c>
      <c r="F259">
        <v>1242</v>
      </c>
      <c r="G259">
        <v>300</v>
      </c>
      <c r="H259">
        <v>0.2</v>
      </c>
    </row>
    <row r="260" spans="1:8" x14ac:dyDescent="0.25">
      <c r="A260" t="s">
        <v>23</v>
      </c>
      <c r="B260">
        <v>89</v>
      </c>
      <c r="C260">
        <v>20</v>
      </c>
      <c r="D260">
        <v>9</v>
      </c>
      <c r="E260">
        <v>0.34399999999999997</v>
      </c>
      <c r="F260">
        <v>2452</v>
      </c>
      <c r="G260">
        <v>303</v>
      </c>
      <c r="H260">
        <v>0.2</v>
      </c>
    </row>
    <row r="261" spans="1:8" x14ac:dyDescent="0.25">
      <c r="A261" t="s">
        <v>23</v>
      </c>
      <c r="B261">
        <v>89</v>
      </c>
      <c r="C261">
        <v>20</v>
      </c>
      <c r="D261">
        <v>10</v>
      </c>
      <c r="E261">
        <v>0.23599999999999999</v>
      </c>
      <c r="F261">
        <v>1691</v>
      </c>
      <c r="G261">
        <v>322</v>
      </c>
      <c r="H261">
        <v>0.2</v>
      </c>
    </row>
    <row r="262" spans="1:8" x14ac:dyDescent="0.25">
      <c r="A262" t="s">
        <v>23</v>
      </c>
      <c r="B262">
        <v>89</v>
      </c>
      <c r="C262">
        <v>20</v>
      </c>
      <c r="D262">
        <v>1</v>
      </c>
      <c r="E262">
        <v>0.159</v>
      </c>
      <c r="F262">
        <v>1106</v>
      </c>
      <c r="G262">
        <v>298</v>
      </c>
      <c r="H262">
        <v>0.3</v>
      </c>
    </row>
    <row r="263" spans="1:8" x14ac:dyDescent="0.25">
      <c r="A263" t="s">
        <v>23</v>
      </c>
      <c r="B263">
        <v>89</v>
      </c>
      <c r="C263">
        <v>20</v>
      </c>
      <c r="D263">
        <v>2</v>
      </c>
      <c r="E263">
        <v>0.21199999999999999</v>
      </c>
      <c r="F263">
        <v>1490</v>
      </c>
      <c r="G263">
        <v>308</v>
      </c>
      <c r="H263">
        <v>0.3</v>
      </c>
    </row>
    <row r="264" spans="1:8" x14ac:dyDescent="0.25">
      <c r="A264" t="s">
        <v>23</v>
      </c>
      <c r="B264">
        <v>89</v>
      </c>
      <c r="C264">
        <v>20</v>
      </c>
      <c r="D264">
        <v>3</v>
      </c>
      <c r="E264">
        <v>0.33300000000000002</v>
      </c>
      <c r="F264">
        <v>2332</v>
      </c>
      <c r="G264">
        <v>332</v>
      </c>
      <c r="H264">
        <v>0.3</v>
      </c>
    </row>
    <row r="265" spans="1:8" x14ac:dyDescent="0.25">
      <c r="A265" t="s">
        <v>23</v>
      </c>
      <c r="B265">
        <v>89</v>
      </c>
      <c r="C265">
        <v>20</v>
      </c>
      <c r="D265">
        <v>4</v>
      </c>
      <c r="E265">
        <v>0.443</v>
      </c>
      <c r="F265">
        <v>3041</v>
      </c>
      <c r="G265">
        <v>306</v>
      </c>
      <c r="H265">
        <v>0.3</v>
      </c>
    </row>
    <row r="266" spans="1:8" x14ac:dyDescent="0.25">
      <c r="A266" t="s">
        <v>23</v>
      </c>
      <c r="B266">
        <v>89</v>
      </c>
      <c r="C266">
        <v>20</v>
      </c>
      <c r="D266">
        <v>5</v>
      </c>
      <c r="E266">
        <v>0.16600000000000001</v>
      </c>
      <c r="F266">
        <v>1133</v>
      </c>
      <c r="G266">
        <v>301</v>
      </c>
      <c r="H266">
        <v>0.3</v>
      </c>
    </row>
    <row r="267" spans="1:8" x14ac:dyDescent="0.25">
      <c r="A267" t="s">
        <v>23</v>
      </c>
      <c r="B267">
        <v>89</v>
      </c>
      <c r="C267">
        <v>20</v>
      </c>
      <c r="D267">
        <v>6</v>
      </c>
      <c r="E267">
        <v>0.29199999999999998</v>
      </c>
      <c r="F267">
        <v>2039</v>
      </c>
      <c r="G267">
        <v>314</v>
      </c>
      <c r="H267">
        <v>0.3</v>
      </c>
    </row>
    <row r="268" spans="1:8" x14ac:dyDescent="0.25">
      <c r="A268" t="s">
        <v>23</v>
      </c>
      <c r="B268">
        <v>89</v>
      </c>
      <c r="C268">
        <v>20</v>
      </c>
      <c r="D268">
        <v>7</v>
      </c>
      <c r="E268">
        <v>0.17399999999999999</v>
      </c>
      <c r="F268">
        <v>1193</v>
      </c>
      <c r="G268">
        <v>333</v>
      </c>
      <c r="H268">
        <v>0.3</v>
      </c>
    </row>
    <row r="269" spans="1:8" x14ac:dyDescent="0.25">
      <c r="A269" t="s">
        <v>23</v>
      </c>
      <c r="B269">
        <v>89</v>
      </c>
      <c r="C269">
        <v>20</v>
      </c>
      <c r="D269">
        <v>8</v>
      </c>
      <c r="E269">
        <v>0.19</v>
      </c>
      <c r="F269">
        <v>1372</v>
      </c>
      <c r="G269">
        <v>332</v>
      </c>
      <c r="H269">
        <v>0.3</v>
      </c>
    </row>
    <row r="270" spans="1:8" x14ac:dyDescent="0.25">
      <c r="A270" t="s">
        <v>23</v>
      </c>
      <c r="B270">
        <v>89</v>
      </c>
      <c r="C270">
        <v>20</v>
      </c>
      <c r="D270">
        <v>9</v>
      </c>
      <c r="E270">
        <v>0.183</v>
      </c>
      <c r="F270">
        <v>1271</v>
      </c>
      <c r="G270">
        <v>323</v>
      </c>
      <c r="H270">
        <v>0.3</v>
      </c>
    </row>
    <row r="271" spans="1:8" x14ac:dyDescent="0.25">
      <c r="A271" t="s">
        <v>23</v>
      </c>
      <c r="B271">
        <v>89</v>
      </c>
      <c r="C271">
        <v>20</v>
      </c>
      <c r="D271">
        <v>10</v>
      </c>
      <c r="E271">
        <v>0.23599999999999999</v>
      </c>
      <c r="F271">
        <v>1700</v>
      </c>
      <c r="G271">
        <v>313</v>
      </c>
      <c r="H271">
        <v>0.3</v>
      </c>
    </row>
    <row r="272" spans="1:8" x14ac:dyDescent="0.25">
      <c r="A272" t="s">
        <v>23</v>
      </c>
      <c r="B272">
        <v>89</v>
      </c>
      <c r="C272">
        <v>20</v>
      </c>
      <c r="D272">
        <v>1</v>
      </c>
      <c r="E272">
        <v>0.223</v>
      </c>
      <c r="F272">
        <v>1526</v>
      </c>
      <c r="G272">
        <v>345</v>
      </c>
      <c r="H272">
        <v>0.4</v>
      </c>
    </row>
    <row r="273" spans="1:8" x14ac:dyDescent="0.25">
      <c r="A273" t="s">
        <v>23</v>
      </c>
      <c r="B273">
        <v>89</v>
      </c>
      <c r="C273">
        <v>20</v>
      </c>
      <c r="D273">
        <v>2</v>
      </c>
      <c r="E273">
        <v>0.155</v>
      </c>
      <c r="F273">
        <v>1080</v>
      </c>
      <c r="G273">
        <v>322</v>
      </c>
      <c r="H273">
        <v>0.4</v>
      </c>
    </row>
    <row r="274" spans="1:8" x14ac:dyDescent="0.25">
      <c r="A274" t="s">
        <v>23</v>
      </c>
      <c r="B274">
        <v>89</v>
      </c>
      <c r="C274">
        <v>20</v>
      </c>
      <c r="D274">
        <v>3</v>
      </c>
      <c r="E274">
        <v>0.25800000000000001</v>
      </c>
      <c r="F274">
        <v>1731</v>
      </c>
      <c r="G274">
        <v>319</v>
      </c>
      <c r="H274">
        <v>0.4</v>
      </c>
    </row>
    <row r="275" spans="1:8" x14ac:dyDescent="0.25">
      <c r="A275" t="s">
        <v>23</v>
      </c>
      <c r="B275">
        <v>89</v>
      </c>
      <c r="C275">
        <v>20</v>
      </c>
      <c r="D275">
        <v>4</v>
      </c>
      <c r="E275">
        <v>0.253</v>
      </c>
      <c r="F275">
        <v>1745</v>
      </c>
      <c r="G275">
        <v>335</v>
      </c>
      <c r="H275">
        <v>0.4</v>
      </c>
    </row>
    <row r="276" spans="1:8" x14ac:dyDescent="0.25">
      <c r="A276" t="s">
        <v>23</v>
      </c>
      <c r="B276">
        <v>89</v>
      </c>
      <c r="C276">
        <v>20</v>
      </c>
      <c r="D276">
        <v>5</v>
      </c>
      <c r="E276">
        <v>0.189</v>
      </c>
      <c r="F276">
        <v>1323</v>
      </c>
      <c r="G276">
        <v>322</v>
      </c>
      <c r="H276">
        <v>0.4</v>
      </c>
    </row>
    <row r="277" spans="1:8" x14ac:dyDescent="0.25">
      <c r="A277" t="s">
        <v>23</v>
      </c>
      <c r="B277">
        <v>89</v>
      </c>
      <c r="C277">
        <v>20</v>
      </c>
      <c r="D277">
        <v>6</v>
      </c>
      <c r="E277">
        <v>0.17100000000000001</v>
      </c>
      <c r="F277">
        <v>1164</v>
      </c>
      <c r="G277">
        <v>341</v>
      </c>
      <c r="H277">
        <v>0.4</v>
      </c>
    </row>
    <row r="278" spans="1:8" x14ac:dyDescent="0.25">
      <c r="A278" t="s">
        <v>23</v>
      </c>
      <c r="B278">
        <v>89</v>
      </c>
      <c r="C278">
        <v>20</v>
      </c>
      <c r="D278">
        <v>7</v>
      </c>
      <c r="E278">
        <v>0.34499999999999997</v>
      </c>
      <c r="F278">
        <v>2350</v>
      </c>
      <c r="G278">
        <v>328</v>
      </c>
      <c r="H278">
        <v>0.4</v>
      </c>
    </row>
    <row r="279" spans="1:8" x14ac:dyDescent="0.25">
      <c r="A279" t="s">
        <v>23</v>
      </c>
      <c r="B279">
        <v>89</v>
      </c>
      <c r="C279">
        <v>20</v>
      </c>
      <c r="D279">
        <v>8</v>
      </c>
      <c r="E279">
        <v>0.16</v>
      </c>
      <c r="F279">
        <v>1126</v>
      </c>
      <c r="G279">
        <v>303</v>
      </c>
      <c r="H279">
        <v>0.4</v>
      </c>
    </row>
    <row r="280" spans="1:8" x14ac:dyDescent="0.25">
      <c r="A280" t="s">
        <v>23</v>
      </c>
      <c r="B280">
        <v>89</v>
      </c>
      <c r="C280">
        <v>20</v>
      </c>
      <c r="D280">
        <v>9</v>
      </c>
      <c r="E280">
        <v>0.378</v>
      </c>
      <c r="F280">
        <v>2666</v>
      </c>
      <c r="G280">
        <v>310</v>
      </c>
      <c r="H280">
        <v>0.4</v>
      </c>
    </row>
    <row r="281" spans="1:8" x14ac:dyDescent="0.25">
      <c r="A281" t="s">
        <v>23</v>
      </c>
      <c r="B281">
        <v>89</v>
      </c>
      <c r="C281">
        <v>20</v>
      </c>
      <c r="D281">
        <v>10</v>
      </c>
      <c r="E281">
        <v>0.32900000000000001</v>
      </c>
      <c r="F281">
        <v>1523</v>
      </c>
      <c r="G281">
        <v>340</v>
      </c>
      <c r="H281">
        <v>0.4</v>
      </c>
    </row>
    <row r="282" spans="1:8" x14ac:dyDescent="0.25">
      <c r="A282" t="s">
        <v>23</v>
      </c>
      <c r="B282">
        <v>89</v>
      </c>
      <c r="C282">
        <v>20</v>
      </c>
      <c r="D282">
        <v>1</v>
      </c>
      <c r="E282">
        <v>0.24399999999999999</v>
      </c>
      <c r="F282">
        <v>1533</v>
      </c>
      <c r="G282">
        <v>332</v>
      </c>
      <c r="H282">
        <v>0.5</v>
      </c>
    </row>
    <row r="283" spans="1:8" x14ac:dyDescent="0.25">
      <c r="A283" t="s">
        <v>23</v>
      </c>
      <c r="B283">
        <v>89</v>
      </c>
      <c r="C283">
        <v>20</v>
      </c>
      <c r="D283">
        <v>2</v>
      </c>
      <c r="E283">
        <v>0.40300000000000002</v>
      </c>
      <c r="F283">
        <v>2305</v>
      </c>
      <c r="G283">
        <v>327</v>
      </c>
      <c r="H283">
        <v>0.5</v>
      </c>
    </row>
    <row r="284" spans="1:8" x14ac:dyDescent="0.25">
      <c r="A284" t="s">
        <v>23</v>
      </c>
      <c r="B284">
        <v>89</v>
      </c>
      <c r="C284">
        <v>20</v>
      </c>
      <c r="D284">
        <v>3</v>
      </c>
      <c r="E284">
        <v>0.20300000000000001</v>
      </c>
      <c r="F284">
        <v>1131</v>
      </c>
      <c r="G284">
        <v>322</v>
      </c>
      <c r="H284">
        <v>0.5</v>
      </c>
    </row>
    <row r="285" spans="1:8" x14ac:dyDescent="0.25">
      <c r="A285" t="s">
        <v>23</v>
      </c>
      <c r="B285">
        <v>89</v>
      </c>
      <c r="C285">
        <v>20</v>
      </c>
      <c r="D285">
        <v>4</v>
      </c>
      <c r="E285">
        <v>0.19700000000000001</v>
      </c>
      <c r="F285">
        <v>1418</v>
      </c>
      <c r="G285">
        <v>340</v>
      </c>
      <c r="H285">
        <v>0.5</v>
      </c>
    </row>
    <row r="286" spans="1:8" x14ac:dyDescent="0.25">
      <c r="A286" t="s">
        <v>23</v>
      </c>
      <c r="B286">
        <v>89</v>
      </c>
      <c r="C286">
        <v>20</v>
      </c>
      <c r="D286">
        <v>5</v>
      </c>
      <c r="E286">
        <v>0.35</v>
      </c>
      <c r="F286">
        <v>2330</v>
      </c>
      <c r="G286">
        <v>337</v>
      </c>
      <c r="H286">
        <v>0.5</v>
      </c>
    </row>
    <row r="287" spans="1:8" x14ac:dyDescent="0.25">
      <c r="A287" t="s">
        <v>23</v>
      </c>
      <c r="B287">
        <v>89</v>
      </c>
      <c r="C287">
        <v>20</v>
      </c>
      <c r="D287">
        <v>6</v>
      </c>
      <c r="E287">
        <v>0.17499999999999999</v>
      </c>
      <c r="F287">
        <v>1051</v>
      </c>
      <c r="G287">
        <v>336</v>
      </c>
      <c r="H287">
        <v>0.5</v>
      </c>
    </row>
    <row r="288" spans="1:8" x14ac:dyDescent="0.25">
      <c r="A288" t="s">
        <v>23</v>
      </c>
      <c r="B288">
        <v>89</v>
      </c>
      <c r="C288">
        <v>20</v>
      </c>
      <c r="D288">
        <v>7</v>
      </c>
      <c r="E288">
        <v>0.19</v>
      </c>
      <c r="F288">
        <v>1269</v>
      </c>
      <c r="G288">
        <v>325</v>
      </c>
      <c r="H288">
        <v>0.5</v>
      </c>
    </row>
    <row r="289" spans="1:8" x14ac:dyDescent="0.25">
      <c r="A289" t="s">
        <v>23</v>
      </c>
      <c r="B289">
        <v>89</v>
      </c>
      <c r="C289">
        <v>20</v>
      </c>
      <c r="D289">
        <v>8</v>
      </c>
      <c r="E289">
        <v>0.252</v>
      </c>
      <c r="F289">
        <v>1354</v>
      </c>
      <c r="G289">
        <v>302</v>
      </c>
      <c r="H289">
        <v>0.5</v>
      </c>
    </row>
    <row r="290" spans="1:8" x14ac:dyDescent="0.25">
      <c r="A290" t="s">
        <v>23</v>
      </c>
      <c r="B290">
        <v>89</v>
      </c>
      <c r="C290">
        <v>20</v>
      </c>
      <c r="D290">
        <v>9</v>
      </c>
      <c r="E290">
        <v>0.22800000000000001</v>
      </c>
      <c r="F290">
        <v>1254</v>
      </c>
      <c r="G290">
        <v>341</v>
      </c>
      <c r="H290">
        <v>0.5</v>
      </c>
    </row>
    <row r="291" spans="1:8" x14ac:dyDescent="0.25">
      <c r="A291" t="s">
        <v>23</v>
      </c>
      <c r="B291">
        <v>89</v>
      </c>
      <c r="C291">
        <v>20</v>
      </c>
      <c r="D291">
        <v>10</v>
      </c>
      <c r="E291">
        <v>0.221</v>
      </c>
      <c r="F291">
        <v>1264</v>
      </c>
      <c r="G291">
        <v>334</v>
      </c>
      <c r="H291">
        <v>0.5</v>
      </c>
    </row>
    <row r="292" spans="1:8" x14ac:dyDescent="0.25">
      <c r="A292" t="s">
        <v>23</v>
      </c>
      <c r="B292">
        <v>89</v>
      </c>
      <c r="C292">
        <v>20</v>
      </c>
      <c r="D292">
        <v>1</v>
      </c>
      <c r="E292">
        <v>0.27200000000000002</v>
      </c>
      <c r="F292">
        <v>1883</v>
      </c>
      <c r="G292">
        <v>317</v>
      </c>
      <c r="H292">
        <v>0.6</v>
      </c>
    </row>
    <row r="293" spans="1:8" x14ac:dyDescent="0.25">
      <c r="A293" t="s">
        <v>23</v>
      </c>
      <c r="B293">
        <v>89</v>
      </c>
      <c r="C293">
        <v>20</v>
      </c>
      <c r="D293">
        <v>2</v>
      </c>
      <c r="E293">
        <v>0.35</v>
      </c>
      <c r="F293">
        <v>1480</v>
      </c>
      <c r="G293">
        <v>320</v>
      </c>
      <c r="H293">
        <v>0.6</v>
      </c>
    </row>
    <row r="294" spans="1:8" x14ac:dyDescent="0.25">
      <c r="A294" t="s">
        <v>23</v>
      </c>
      <c r="B294">
        <v>89</v>
      </c>
      <c r="C294">
        <v>20</v>
      </c>
      <c r="D294">
        <v>3</v>
      </c>
      <c r="E294">
        <v>0.2</v>
      </c>
      <c r="F294">
        <v>1091</v>
      </c>
      <c r="G294">
        <v>336</v>
      </c>
      <c r="H294">
        <v>0.6</v>
      </c>
    </row>
    <row r="295" spans="1:8" x14ac:dyDescent="0.25">
      <c r="A295" t="s">
        <v>23</v>
      </c>
      <c r="B295">
        <v>89</v>
      </c>
      <c r="C295">
        <v>20</v>
      </c>
      <c r="D295">
        <v>4</v>
      </c>
      <c r="E295">
        <v>0.16400000000000001</v>
      </c>
      <c r="F295">
        <v>1141</v>
      </c>
      <c r="G295">
        <v>331</v>
      </c>
      <c r="H295">
        <v>0.6</v>
      </c>
    </row>
    <row r="296" spans="1:8" x14ac:dyDescent="0.25">
      <c r="A296" t="s">
        <v>23</v>
      </c>
      <c r="B296">
        <v>89</v>
      </c>
      <c r="C296">
        <v>20</v>
      </c>
      <c r="D296">
        <v>5</v>
      </c>
      <c r="E296">
        <v>0.379</v>
      </c>
      <c r="F296">
        <v>2377</v>
      </c>
      <c r="G296">
        <v>334</v>
      </c>
      <c r="H296">
        <v>0.6</v>
      </c>
    </row>
    <row r="297" spans="1:8" x14ac:dyDescent="0.25">
      <c r="A297" t="s">
        <v>23</v>
      </c>
      <c r="B297">
        <v>89</v>
      </c>
      <c r="C297">
        <v>20</v>
      </c>
      <c r="D297">
        <v>6</v>
      </c>
      <c r="E297">
        <v>0.72099999999999997</v>
      </c>
      <c r="F297">
        <v>4737</v>
      </c>
      <c r="G297">
        <v>313</v>
      </c>
      <c r="H297">
        <v>0.6</v>
      </c>
    </row>
    <row r="298" spans="1:8" x14ac:dyDescent="0.25">
      <c r="A298" t="s">
        <v>23</v>
      </c>
      <c r="B298">
        <v>89</v>
      </c>
      <c r="C298">
        <v>20</v>
      </c>
      <c r="D298">
        <v>7</v>
      </c>
      <c r="E298">
        <v>0.27400000000000002</v>
      </c>
      <c r="F298">
        <v>1925</v>
      </c>
      <c r="G298">
        <v>327</v>
      </c>
      <c r="H298">
        <v>0.6</v>
      </c>
    </row>
    <row r="299" spans="1:8" x14ac:dyDescent="0.25">
      <c r="A299" t="s">
        <v>23</v>
      </c>
      <c r="B299">
        <v>89</v>
      </c>
      <c r="C299">
        <v>20</v>
      </c>
      <c r="D299">
        <v>8</v>
      </c>
      <c r="E299">
        <v>0.46500000000000002</v>
      </c>
      <c r="F299">
        <v>2665</v>
      </c>
      <c r="G299">
        <v>315</v>
      </c>
      <c r="H299">
        <v>0.6</v>
      </c>
    </row>
    <row r="300" spans="1:8" x14ac:dyDescent="0.25">
      <c r="A300" t="s">
        <v>23</v>
      </c>
      <c r="B300">
        <v>89</v>
      </c>
      <c r="C300">
        <v>20</v>
      </c>
      <c r="D300">
        <v>9</v>
      </c>
      <c r="E300">
        <v>0.252</v>
      </c>
      <c r="F300">
        <v>1704</v>
      </c>
      <c r="G300">
        <v>320</v>
      </c>
      <c r="H300">
        <v>0.6</v>
      </c>
    </row>
    <row r="301" spans="1:8" x14ac:dyDescent="0.25">
      <c r="A301" t="s">
        <v>23</v>
      </c>
      <c r="B301">
        <v>89</v>
      </c>
      <c r="C301">
        <v>20</v>
      </c>
      <c r="D301">
        <v>10</v>
      </c>
      <c r="E301">
        <v>0.29199999999999998</v>
      </c>
      <c r="F301">
        <v>2067</v>
      </c>
      <c r="G301">
        <v>344</v>
      </c>
      <c r="H301">
        <v>0.6</v>
      </c>
    </row>
    <row r="302" spans="1:8" x14ac:dyDescent="0.25">
      <c r="A302" t="s">
        <v>23</v>
      </c>
      <c r="B302">
        <v>89</v>
      </c>
      <c r="C302">
        <v>20</v>
      </c>
      <c r="D302">
        <v>1</v>
      </c>
      <c r="E302">
        <v>0.17299999999999999</v>
      </c>
      <c r="F302">
        <v>1247</v>
      </c>
      <c r="G302">
        <v>346</v>
      </c>
      <c r="H302">
        <v>0.7</v>
      </c>
    </row>
    <row r="303" spans="1:8" x14ac:dyDescent="0.25">
      <c r="A303" t="s">
        <v>23</v>
      </c>
      <c r="B303">
        <v>89</v>
      </c>
      <c r="C303">
        <v>20</v>
      </c>
      <c r="D303">
        <v>2</v>
      </c>
      <c r="E303">
        <v>0.30499999999999999</v>
      </c>
      <c r="F303">
        <v>1926</v>
      </c>
      <c r="G303">
        <v>318</v>
      </c>
      <c r="H303">
        <v>0.7</v>
      </c>
    </row>
    <row r="304" spans="1:8" x14ac:dyDescent="0.25">
      <c r="A304" t="s">
        <v>23</v>
      </c>
      <c r="B304">
        <v>89</v>
      </c>
      <c r="C304">
        <v>20</v>
      </c>
      <c r="D304">
        <v>3</v>
      </c>
      <c r="E304">
        <v>0.19400000000000001</v>
      </c>
      <c r="F304">
        <v>1338</v>
      </c>
      <c r="G304">
        <v>335</v>
      </c>
      <c r="H304">
        <v>0.7</v>
      </c>
    </row>
    <row r="305" spans="1:8" x14ac:dyDescent="0.25">
      <c r="A305" t="s">
        <v>23</v>
      </c>
      <c r="B305">
        <v>89</v>
      </c>
      <c r="C305">
        <v>20</v>
      </c>
      <c r="D305">
        <v>4</v>
      </c>
      <c r="E305">
        <v>0.182</v>
      </c>
      <c r="F305">
        <v>1268</v>
      </c>
      <c r="G305">
        <v>339</v>
      </c>
      <c r="H305">
        <v>0.7</v>
      </c>
    </row>
    <row r="306" spans="1:8" x14ac:dyDescent="0.25">
      <c r="A306" t="s">
        <v>23</v>
      </c>
      <c r="B306">
        <v>89</v>
      </c>
      <c r="C306">
        <v>20</v>
      </c>
      <c r="D306">
        <v>5</v>
      </c>
      <c r="E306">
        <v>0.186</v>
      </c>
      <c r="F306">
        <v>1033</v>
      </c>
      <c r="G306">
        <v>354</v>
      </c>
      <c r="H306">
        <v>0.7</v>
      </c>
    </row>
    <row r="307" spans="1:8" x14ac:dyDescent="0.25">
      <c r="A307" t="s">
        <v>23</v>
      </c>
      <c r="B307">
        <v>89</v>
      </c>
      <c r="C307">
        <v>20</v>
      </c>
      <c r="D307">
        <v>6</v>
      </c>
      <c r="E307">
        <v>0.29299999999999998</v>
      </c>
      <c r="F307">
        <v>2085</v>
      </c>
      <c r="G307">
        <v>347</v>
      </c>
      <c r="H307">
        <v>0.7</v>
      </c>
    </row>
    <row r="308" spans="1:8" x14ac:dyDescent="0.25">
      <c r="A308" t="s">
        <v>23</v>
      </c>
      <c r="B308">
        <v>89</v>
      </c>
      <c r="C308">
        <v>20</v>
      </c>
      <c r="D308">
        <v>7</v>
      </c>
      <c r="E308">
        <v>0.154</v>
      </c>
      <c r="F308">
        <v>1116</v>
      </c>
      <c r="G308">
        <v>385</v>
      </c>
      <c r="H308">
        <v>0.7</v>
      </c>
    </row>
    <row r="309" spans="1:8" x14ac:dyDescent="0.25">
      <c r="A309" t="s">
        <v>23</v>
      </c>
      <c r="B309">
        <v>89</v>
      </c>
      <c r="C309">
        <v>20</v>
      </c>
      <c r="D309">
        <v>8</v>
      </c>
      <c r="E309">
        <v>0.159</v>
      </c>
      <c r="F309">
        <v>1111</v>
      </c>
      <c r="G309">
        <v>334</v>
      </c>
      <c r="H309">
        <v>0.7</v>
      </c>
    </row>
    <row r="310" spans="1:8" x14ac:dyDescent="0.25">
      <c r="A310" t="s">
        <v>23</v>
      </c>
      <c r="B310">
        <v>89</v>
      </c>
      <c r="C310">
        <v>20</v>
      </c>
      <c r="D310">
        <v>9</v>
      </c>
      <c r="E310">
        <v>0.16900000000000001</v>
      </c>
      <c r="F310">
        <v>1166</v>
      </c>
      <c r="G310">
        <v>332</v>
      </c>
      <c r="H310">
        <v>0.7</v>
      </c>
    </row>
    <row r="311" spans="1:8" x14ac:dyDescent="0.25">
      <c r="A311" t="s">
        <v>23</v>
      </c>
      <c r="B311">
        <v>89</v>
      </c>
      <c r="C311">
        <v>20</v>
      </c>
      <c r="D311">
        <v>10</v>
      </c>
      <c r="E311">
        <v>0.29299999999999998</v>
      </c>
      <c r="F311">
        <v>2075</v>
      </c>
      <c r="G311">
        <v>353</v>
      </c>
      <c r="H311">
        <v>0.7</v>
      </c>
    </row>
    <row r="312" spans="1:8" x14ac:dyDescent="0.25">
      <c r="A312" t="s">
        <v>23</v>
      </c>
      <c r="B312">
        <v>89</v>
      </c>
      <c r="C312">
        <v>20</v>
      </c>
      <c r="D312">
        <v>1</v>
      </c>
      <c r="E312">
        <v>0.23899999999999999</v>
      </c>
      <c r="F312">
        <v>1721</v>
      </c>
      <c r="G312">
        <v>347</v>
      </c>
      <c r="H312">
        <v>0.8</v>
      </c>
    </row>
    <row r="313" spans="1:8" x14ac:dyDescent="0.25">
      <c r="A313" t="s">
        <v>23</v>
      </c>
      <c r="B313">
        <v>89</v>
      </c>
      <c r="C313">
        <v>20</v>
      </c>
      <c r="D313">
        <v>2</v>
      </c>
      <c r="E313">
        <v>0.28799999999999998</v>
      </c>
      <c r="F313">
        <v>2094</v>
      </c>
      <c r="G313">
        <v>324</v>
      </c>
      <c r="H313">
        <v>0.8</v>
      </c>
    </row>
    <row r="314" spans="1:8" x14ac:dyDescent="0.25">
      <c r="A314" t="s">
        <v>23</v>
      </c>
      <c r="B314">
        <v>89</v>
      </c>
      <c r="C314">
        <v>20</v>
      </c>
      <c r="D314">
        <v>3</v>
      </c>
      <c r="E314">
        <v>0.19500000000000001</v>
      </c>
      <c r="F314">
        <v>1093</v>
      </c>
      <c r="G314">
        <v>327</v>
      </c>
      <c r="H314">
        <v>0.8</v>
      </c>
    </row>
    <row r="315" spans="1:8" x14ac:dyDescent="0.25">
      <c r="A315" t="s">
        <v>23</v>
      </c>
      <c r="B315">
        <v>89</v>
      </c>
      <c r="C315">
        <v>20</v>
      </c>
      <c r="D315">
        <v>4</v>
      </c>
      <c r="E315">
        <v>0.16</v>
      </c>
      <c r="F315">
        <v>1155</v>
      </c>
      <c r="G315">
        <v>332</v>
      </c>
      <c r="H315">
        <v>0.8</v>
      </c>
    </row>
    <row r="316" spans="1:8" x14ac:dyDescent="0.25">
      <c r="A316" t="s">
        <v>23</v>
      </c>
      <c r="B316">
        <v>89</v>
      </c>
      <c r="C316">
        <v>20</v>
      </c>
      <c r="D316">
        <v>5</v>
      </c>
      <c r="E316">
        <v>0.39800000000000002</v>
      </c>
      <c r="F316">
        <v>2827</v>
      </c>
      <c r="G316">
        <v>337</v>
      </c>
      <c r="H316">
        <v>0.8</v>
      </c>
    </row>
    <row r="317" spans="1:8" x14ac:dyDescent="0.25">
      <c r="A317" t="s">
        <v>23</v>
      </c>
      <c r="B317">
        <v>89</v>
      </c>
      <c r="C317">
        <v>20</v>
      </c>
      <c r="D317">
        <v>6</v>
      </c>
      <c r="E317">
        <v>0.35699999999999998</v>
      </c>
      <c r="F317">
        <v>2072</v>
      </c>
      <c r="G317">
        <v>339</v>
      </c>
      <c r="H317">
        <v>0.8</v>
      </c>
    </row>
    <row r="318" spans="1:8" x14ac:dyDescent="0.25">
      <c r="A318" t="s">
        <v>23</v>
      </c>
      <c r="B318">
        <v>89</v>
      </c>
      <c r="C318">
        <v>20</v>
      </c>
      <c r="D318">
        <v>7</v>
      </c>
      <c r="E318">
        <v>0.16600000000000001</v>
      </c>
      <c r="F318">
        <v>1179</v>
      </c>
      <c r="G318">
        <v>337</v>
      </c>
      <c r="H318">
        <v>0.8</v>
      </c>
    </row>
    <row r="319" spans="1:8" x14ac:dyDescent="0.25">
      <c r="A319" t="s">
        <v>23</v>
      </c>
      <c r="B319">
        <v>89</v>
      </c>
      <c r="C319">
        <v>20</v>
      </c>
      <c r="D319">
        <v>8</v>
      </c>
      <c r="E319">
        <v>0.16200000000000001</v>
      </c>
      <c r="F319">
        <v>1155</v>
      </c>
      <c r="G319">
        <v>334</v>
      </c>
      <c r="H319">
        <v>0.8</v>
      </c>
    </row>
    <row r="320" spans="1:8" x14ac:dyDescent="0.25">
      <c r="A320" t="s">
        <v>23</v>
      </c>
      <c r="B320">
        <v>89</v>
      </c>
      <c r="C320">
        <v>20</v>
      </c>
      <c r="D320">
        <v>9</v>
      </c>
      <c r="E320">
        <v>0.221</v>
      </c>
      <c r="F320">
        <v>1373</v>
      </c>
      <c r="G320">
        <v>322</v>
      </c>
      <c r="H320">
        <v>0.8</v>
      </c>
    </row>
    <row r="321" spans="1:8" x14ac:dyDescent="0.25">
      <c r="A321" t="s">
        <v>23</v>
      </c>
      <c r="B321">
        <v>89</v>
      </c>
      <c r="C321">
        <v>20</v>
      </c>
      <c r="D321">
        <v>10</v>
      </c>
      <c r="E321">
        <v>0.17199999999999999</v>
      </c>
      <c r="F321">
        <v>1220</v>
      </c>
      <c r="G321">
        <v>338</v>
      </c>
      <c r="H321">
        <v>0.8</v>
      </c>
    </row>
    <row r="322" spans="1:8" x14ac:dyDescent="0.25">
      <c r="A322" t="s">
        <v>23</v>
      </c>
      <c r="B322">
        <v>89</v>
      </c>
      <c r="C322">
        <v>20</v>
      </c>
      <c r="D322">
        <v>1</v>
      </c>
      <c r="E322">
        <v>0.14399999999999999</v>
      </c>
      <c r="F322">
        <v>1080</v>
      </c>
      <c r="G322">
        <v>345</v>
      </c>
      <c r="H322">
        <v>0.9</v>
      </c>
    </row>
    <row r="323" spans="1:8" x14ac:dyDescent="0.25">
      <c r="A323" t="s">
        <v>23</v>
      </c>
      <c r="B323">
        <v>89</v>
      </c>
      <c r="C323">
        <v>20</v>
      </c>
      <c r="D323">
        <v>2</v>
      </c>
      <c r="E323">
        <v>0.17899999999999999</v>
      </c>
      <c r="F323">
        <v>1308</v>
      </c>
      <c r="G323">
        <v>360</v>
      </c>
      <c r="H323">
        <v>0.9</v>
      </c>
    </row>
    <row r="324" spans="1:8" x14ac:dyDescent="0.25">
      <c r="A324" t="s">
        <v>23</v>
      </c>
      <c r="B324">
        <v>89</v>
      </c>
      <c r="C324">
        <v>20</v>
      </c>
      <c r="D324">
        <v>3</v>
      </c>
      <c r="E324">
        <v>0.38200000000000001</v>
      </c>
      <c r="F324">
        <v>2753</v>
      </c>
      <c r="G324">
        <v>338</v>
      </c>
      <c r="H324">
        <v>0.9</v>
      </c>
    </row>
    <row r="325" spans="1:8" x14ac:dyDescent="0.25">
      <c r="A325" t="s">
        <v>23</v>
      </c>
      <c r="B325">
        <v>89</v>
      </c>
      <c r="C325">
        <v>20</v>
      </c>
      <c r="D325">
        <v>4</v>
      </c>
      <c r="E325">
        <v>0.185</v>
      </c>
      <c r="F325">
        <v>1345</v>
      </c>
      <c r="G325">
        <v>335</v>
      </c>
      <c r="H325">
        <v>0.9</v>
      </c>
    </row>
    <row r="326" spans="1:8" x14ac:dyDescent="0.25">
      <c r="A326" t="s">
        <v>23</v>
      </c>
      <c r="B326">
        <v>89</v>
      </c>
      <c r="C326">
        <v>20</v>
      </c>
      <c r="D326">
        <v>5</v>
      </c>
      <c r="E326">
        <v>0.41899999999999998</v>
      </c>
      <c r="F326">
        <v>3073</v>
      </c>
      <c r="G326">
        <v>321</v>
      </c>
      <c r="H326">
        <v>0.9</v>
      </c>
    </row>
    <row r="327" spans="1:8" x14ac:dyDescent="0.25">
      <c r="A327" t="s">
        <v>23</v>
      </c>
      <c r="B327">
        <v>89</v>
      </c>
      <c r="C327">
        <v>20</v>
      </c>
      <c r="D327">
        <v>6</v>
      </c>
      <c r="E327">
        <v>0.16500000000000001</v>
      </c>
      <c r="F327">
        <v>1242</v>
      </c>
      <c r="G327">
        <v>334</v>
      </c>
      <c r="H327">
        <v>0.9</v>
      </c>
    </row>
    <row r="328" spans="1:8" x14ac:dyDescent="0.25">
      <c r="A328" t="s">
        <v>23</v>
      </c>
      <c r="B328">
        <v>89</v>
      </c>
      <c r="C328">
        <v>20</v>
      </c>
      <c r="D328">
        <v>7</v>
      </c>
      <c r="E328">
        <v>0.34899999999999998</v>
      </c>
      <c r="F328">
        <v>2547</v>
      </c>
      <c r="G328">
        <v>353</v>
      </c>
      <c r="H328">
        <v>0.9</v>
      </c>
    </row>
    <row r="329" spans="1:8" x14ac:dyDescent="0.25">
      <c r="A329" t="s">
        <v>23</v>
      </c>
      <c r="B329">
        <v>89</v>
      </c>
      <c r="C329">
        <v>20</v>
      </c>
      <c r="D329">
        <v>8</v>
      </c>
      <c r="E329">
        <v>0.159</v>
      </c>
      <c r="F329">
        <v>1158</v>
      </c>
      <c r="G329">
        <v>329</v>
      </c>
      <c r="H329">
        <v>0.9</v>
      </c>
    </row>
    <row r="330" spans="1:8" x14ac:dyDescent="0.25">
      <c r="A330" t="s">
        <v>23</v>
      </c>
      <c r="B330">
        <v>89</v>
      </c>
      <c r="C330">
        <v>20</v>
      </c>
      <c r="D330">
        <v>9</v>
      </c>
      <c r="E330">
        <v>0.254</v>
      </c>
      <c r="F330">
        <v>1481</v>
      </c>
      <c r="G330">
        <v>328</v>
      </c>
      <c r="H330">
        <v>0.9</v>
      </c>
    </row>
    <row r="331" spans="1:8" x14ac:dyDescent="0.25">
      <c r="A331" t="s">
        <v>23</v>
      </c>
      <c r="B331">
        <v>89</v>
      </c>
      <c r="C331">
        <v>20</v>
      </c>
      <c r="D331">
        <v>10</v>
      </c>
      <c r="E331">
        <v>0.16400000000000001</v>
      </c>
      <c r="F331">
        <v>1221</v>
      </c>
      <c r="G331">
        <v>329</v>
      </c>
      <c r="H331">
        <v>0.9</v>
      </c>
    </row>
    <row r="332" spans="1:8" x14ac:dyDescent="0.25">
      <c r="A332" t="s">
        <v>23</v>
      </c>
      <c r="B332">
        <v>400</v>
      </c>
      <c r="C332">
        <v>20</v>
      </c>
      <c r="D332">
        <v>1</v>
      </c>
      <c r="E332">
        <v>0.33</v>
      </c>
      <c r="F332">
        <v>2256</v>
      </c>
      <c r="G332">
        <v>1098</v>
      </c>
      <c r="H332">
        <v>0.1</v>
      </c>
    </row>
    <row r="333" spans="1:8" x14ac:dyDescent="0.25">
      <c r="A333" t="s">
        <v>23</v>
      </c>
      <c r="B333">
        <v>400</v>
      </c>
      <c r="C333">
        <v>20</v>
      </c>
      <c r="D333">
        <v>2</v>
      </c>
      <c r="E333">
        <v>0.372</v>
      </c>
      <c r="F333">
        <v>2066</v>
      </c>
      <c r="G333">
        <v>1094</v>
      </c>
      <c r="H333">
        <v>0.1</v>
      </c>
    </row>
    <row r="334" spans="1:8" x14ac:dyDescent="0.25">
      <c r="A334" t="s">
        <v>23</v>
      </c>
      <c r="B334">
        <v>400</v>
      </c>
      <c r="C334">
        <v>20</v>
      </c>
      <c r="D334">
        <v>3</v>
      </c>
      <c r="E334">
        <v>0.28199999999999997</v>
      </c>
      <c r="F334">
        <v>1693</v>
      </c>
      <c r="G334">
        <v>1079</v>
      </c>
      <c r="H334">
        <v>0.1</v>
      </c>
    </row>
    <row r="335" spans="1:8" x14ac:dyDescent="0.25">
      <c r="A335" t="s">
        <v>23</v>
      </c>
      <c r="B335">
        <v>400</v>
      </c>
      <c r="C335">
        <v>20</v>
      </c>
      <c r="D335">
        <v>4</v>
      </c>
      <c r="E335">
        <v>0.318</v>
      </c>
      <c r="F335">
        <v>1847</v>
      </c>
      <c r="G335">
        <v>1112</v>
      </c>
      <c r="H335">
        <v>0.1</v>
      </c>
    </row>
    <row r="336" spans="1:8" x14ac:dyDescent="0.25">
      <c r="A336" t="s">
        <v>23</v>
      </c>
      <c r="B336">
        <v>400</v>
      </c>
      <c r="C336">
        <v>20</v>
      </c>
      <c r="D336">
        <v>5</v>
      </c>
      <c r="E336">
        <v>0.28899999999999998</v>
      </c>
      <c r="F336">
        <v>1712</v>
      </c>
      <c r="G336">
        <v>1063</v>
      </c>
      <c r="H336">
        <v>0.1</v>
      </c>
    </row>
    <row r="337" spans="1:8" x14ac:dyDescent="0.25">
      <c r="A337" t="s">
        <v>23</v>
      </c>
      <c r="B337">
        <v>400</v>
      </c>
      <c r="C337">
        <v>20</v>
      </c>
      <c r="D337">
        <v>6</v>
      </c>
      <c r="E337">
        <v>0.34799999999999998</v>
      </c>
      <c r="F337">
        <v>2433</v>
      </c>
      <c r="G337">
        <v>1080</v>
      </c>
      <c r="H337">
        <v>0.1</v>
      </c>
    </row>
    <row r="338" spans="1:8" x14ac:dyDescent="0.25">
      <c r="A338" t="s">
        <v>23</v>
      </c>
      <c r="B338">
        <v>400</v>
      </c>
      <c r="C338">
        <v>20</v>
      </c>
      <c r="D338">
        <v>7</v>
      </c>
      <c r="E338">
        <v>0.25900000000000001</v>
      </c>
      <c r="F338">
        <v>1631</v>
      </c>
      <c r="G338">
        <v>1105</v>
      </c>
      <c r="H338">
        <v>0.1</v>
      </c>
    </row>
    <row r="339" spans="1:8" x14ac:dyDescent="0.25">
      <c r="A339" t="s">
        <v>23</v>
      </c>
      <c r="B339">
        <v>400</v>
      </c>
      <c r="C339">
        <v>20</v>
      </c>
      <c r="D339">
        <v>8</v>
      </c>
      <c r="E339">
        <v>0.27</v>
      </c>
      <c r="F339">
        <v>1951</v>
      </c>
      <c r="G339">
        <v>1104</v>
      </c>
      <c r="H339">
        <v>0.1</v>
      </c>
    </row>
    <row r="340" spans="1:8" x14ac:dyDescent="0.25">
      <c r="A340" t="s">
        <v>23</v>
      </c>
      <c r="B340">
        <v>400</v>
      </c>
      <c r="C340">
        <v>20</v>
      </c>
      <c r="D340">
        <v>9</v>
      </c>
      <c r="E340">
        <v>0.28399999999999997</v>
      </c>
      <c r="F340">
        <v>1994</v>
      </c>
      <c r="G340">
        <v>1091</v>
      </c>
      <c r="H340">
        <v>0.1</v>
      </c>
    </row>
    <row r="341" spans="1:8" x14ac:dyDescent="0.25">
      <c r="A341" t="s">
        <v>23</v>
      </c>
      <c r="B341">
        <v>400</v>
      </c>
      <c r="C341">
        <v>20</v>
      </c>
      <c r="D341">
        <v>10</v>
      </c>
      <c r="E341">
        <v>0.36599999999999999</v>
      </c>
      <c r="F341">
        <v>2628</v>
      </c>
      <c r="G341">
        <v>1095</v>
      </c>
      <c r="H341">
        <v>0.1</v>
      </c>
    </row>
    <row r="342" spans="1:8" x14ac:dyDescent="0.25">
      <c r="A342" t="s">
        <v>23</v>
      </c>
      <c r="B342">
        <v>400</v>
      </c>
      <c r="C342">
        <v>20</v>
      </c>
      <c r="D342">
        <v>1</v>
      </c>
      <c r="E342">
        <v>0.42599999999999999</v>
      </c>
      <c r="F342">
        <v>3042</v>
      </c>
      <c r="G342">
        <v>1114</v>
      </c>
      <c r="H342">
        <v>0.2</v>
      </c>
    </row>
    <row r="343" spans="1:8" x14ac:dyDescent="0.25">
      <c r="A343" t="s">
        <v>23</v>
      </c>
      <c r="B343">
        <v>400</v>
      </c>
      <c r="C343">
        <v>20</v>
      </c>
      <c r="D343">
        <v>2</v>
      </c>
      <c r="E343">
        <v>0.27500000000000002</v>
      </c>
      <c r="F343">
        <v>1538</v>
      </c>
      <c r="G343">
        <v>1143</v>
      </c>
      <c r="H343">
        <v>0.2</v>
      </c>
    </row>
    <row r="344" spans="1:8" x14ac:dyDescent="0.25">
      <c r="A344" t="s">
        <v>23</v>
      </c>
      <c r="B344">
        <v>400</v>
      </c>
      <c r="C344">
        <v>20</v>
      </c>
      <c r="D344">
        <v>3</v>
      </c>
      <c r="E344">
        <v>0.23699999999999999</v>
      </c>
      <c r="F344">
        <v>1370</v>
      </c>
      <c r="G344">
        <v>1114</v>
      </c>
      <c r="H344">
        <v>0.2</v>
      </c>
    </row>
    <row r="345" spans="1:8" x14ac:dyDescent="0.25">
      <c r="A345" t="s">
        <v>23</v>
      </c>
      <c r="B345">
        <v>400</v>
      </c>
      <c r="C345">
        <v>20</v>
      </c>
      <c r="D345">
        <v>4</v>
      </c>
      <c r="E345">
        <v>0.29499999999999998</v>
      </c>
      <c r="F345">
        <v>1701</v>
      </c>
      <c r="G345">
        <v>1153</v>
      </c>
      <c r="H345">
        <v>0.2</v>
      </c>
    </row>
    <row r="346" spans="1:8" x14ac:dyDescent="0.25">
      <c r="A346" t="s">
        <v>23</v>
      </c>
      <c r="B346">
        <v>400</v>
      </c>
      <c r="C346">
        <v>20</v>
      </c>
      <c r="D346">
        <v>5</v>
      </c>
      <c r="E346">
        <v>0.41499999999999998</v>
      </c>
      <c r="F346">
        <v>1822</v>
      </c>
      <c r="G346">
        <v>1118</v>
      </c>
      <c r="H346">
        <v>0.2</v>
      </c>
    </row>
    <row r="347" spans="1:8" x14ac:dyDescent="0.25">
      <c r="A347" t="s">
        <v>23</v>
      </c>
      <c r="B347">
        <v>400</v>
      </c>
      <c r="C347">
        <v>20</v>
      </c>
      <c r="D347">
        <v>6</v>
      </c>
      <c r="E347">
        <v>0.35899999999999999</v>
      </c>
      <c r="F347">
        <v>2016</v>
      </c>
      <c r="G347">
        <v>1139</v>
      </c>
      <c r="H347">
        <v>0.2</v>
      </c>
    </row>
    <row r="348" spans="1:8" x14ac:dyDescent="0.25">
      <c r="A348" t="s">
        <v>23</v>
      </c>
      <c r="B348">
        <v>400</v>
      </c>
      <c r="C348">
        <v>20</v>
      </c>
      <c r="D348">
        <v>7</v>
      </c>
      <c r="E348">
        <v>0.33800000000000002</v>
      </c>
      <c r="F348">
        <v>1988</v>
      </c>
      <c r="G348">
        <v>1127</v>
      </c>
      <c r="H348">
        <v>0.2</v>
      </c>
    </row>
    <row r="349" spans="1:8" x14ac:dyDescent="0.25">
      <c r="A349" t="s">
        <v>23</v>
      </c>
      <c r="B349">
        <v>400</v>
      </c>
      <c r="C349">
        <v>20</v>
      </c>
      <c r="D349">
        <v>8</v>
      </c>
      <c r="E349">
        <v>0.25700000000000001</v>
      </c>
      <c r="F349">
        <v>1847</v>
      </c>
      <c r="G349">
        <v>1106</v>
      </c>
      <c r="H349">
        <v>0.2</v>
      </c>
    </row>
    <row r="350" spans="1:8" x14ac:dyDescent="0.25">
      <c r="A350" t="s">
        <v>23</v>
      </c>
      <c r="B350">
        <v>400</v>
      </c>
      <c r="C350">
        <v>20</v>
      </c>
      <c r="D350">
        <v>9</v>
      </c>
      <c r="E350">
        <v>0.222</v>
      </c>
      <c r="F350">
        <v>1279</v>
      </c>
      <c r="G350">
        <v>1144</v>
      </c>
      <c r="H350">
        <v>0.2</v>
      </c>
    </row>
    <row r="351" spans="1:8" x14ac:dyDescent="0.25">
      <c r="A351" t="s">
        <v>23</v>
      </c>
      <c r="B351">
        <v>400</v>
      </c>
      <c r="C351">
        <v>20</v>
      </c>
      <c r="D351">
        <v>10</v>
      </c>
      <c r="E351">
        <v>0.20100000000000001</v>
      </c>
      <c r="F351">
        <v>1328</v>
      </c>
      <c r="G351">
        <v>1130</v>
      </c>
      <c r="H351">
        <v>0.2</v>
      </c>
    </row>
    <row r="352" spans="1:8" x14ac:dyDescent="0.25">
      <c r="A352" t="s">
        <v>23</v>
      </c>
      <c r="B352">
        <v>400</v>
      </c>
      <c r="C352">
        <v>20</v>
      </c>
      <c r="D352">
        <v>1</v>
      </c>
      <c r="E352">
        <v>0.42799999999999999</v>
      </c>
      <c r="F352">
        <v>2511</v>
      </c>
      <c r="G352">
        <v>1168</v>
      </c>
      <c r="H352">
        <v>0.3</v>
      </c>
    </row>
    <row r="353" spans="1:8" x14ac:dyDescent="0.25">
      <c r="A353" t="s">
        <v>23</v>
      </c>
      <c r="B353">
        <v>400</v>
      </c>
      <c r="C353">
        <v>20</v>
      </c>
      <c r="D353">
        <v>2</v>
      </c>
      <c r="E353">
        <v>0.34200000000000003</v>
      </c>
      <c r="F353">
        <v>2385</v>
      </c>
      <c r="G353">
        <v>1161</v>
      </c>
      <c r="H353">
        <v>0.3</v>
      </c>
    </row>
    <row r="354" spans="1:8" x14ac:dyDescent="0.25">
      <c r="A354" t="s">
        <v>23</v>
      </c>
      <c r="B354">
        <v>400</v>
      </c>
      <c r="C354">
        <v>20</v>
      </c>
      <c r="D354">
        <v>3</v>
      </c>
      <c r="E354">
        <v>0.29399999999999998</v>
      </c>
      <c r="F354">
        <v>1476</v>
      </c>
      <c r="G354">
        <v>1127</v>
      </c>
      <c r="H354">
        <v>0.3</v>
      </c>
    </row>
    <row r="355" spans="1:8" x14ac:dyDescent="0.25">
      <c r="A355" t="s">
        <v>23</v>
      </c>
      <c r="B355">
        <v>400</v>
      </c>
      <c r="C355">
        <v>20</v>
      </c>
      <c r="D355">
        <v>4</v>
      </c>
      <c r="E355">
        <v>0.182</v>
      </c>
      <c r="F355">
        <v>1274</v>
      </c>
      <c r="G355">
        <v>1191</v>
      </c>
      <c r="H355">
        <v>0.3</v>
      </c>
    </row>
    <row r="356" spans="1:8" x14ac:dyDescent="0.25">
      <c r="A356" t="s">
        <v>23</v>
      </c>
      <c r="B356">
        <v>400</v>
      </c>
      <c r="C356">
        <v>20</v>
      </c>
      <c r="D356">
        <v>5</v>
      </c>
      <c r="E356">
        <v>0.23699999999999999</v>
      </c>
      <c r="F356">
        <v>1586</v>
      </c>
      <c r="G356">
        <v>1117</v>
      </c>
      <c r="H356">
        <v>0.3</v>
      </c>
    </row>
    <row r="357" spans="1:8" x14ac:dyDescent="0.25">
      <c r="A357" t="s">
        <v>23</v>
      </c>
      <c r="B357">
        <v>400</v>
      </c>
      <c r="C357">
        <v>20</v>
      </c>
      <c r="D357">
        <v>6</v>
      </c>
      <c r="E357">
        <v>0.42399999999999999</v>
      </c>
      <c r="F357">
        <v>2378</v>
      </c>
      <c r="G357">
        <v>1155</v>
      </c>
      <c r="H357">
        <v>0.3</v>
      </c>
    </row>
    <row r="358" spans="1:8" x14ac:dyDescent="0.25">
      <c r="A358" t="s">
        <v>23</v>
      </c>
      <c r="B358">
        <v>400</v>
      </c>
      <c r="C358">
        <v>20</v>
      </c>
      <c r="D358">
        <v>7</v>
      </c>
      <c r="E358">
        <v>0.17100000000000001</v>
      </c>
      <c r="F358">
        <v>1196</v>
      </c>
      <c r="G358">
        <v>1166</v>
      </c>
      <c r="H358">
        <v>0.3</v>
      </c>
    </row>
    <row r="359" spans="1:8" x14ac:dyDescent="0.25">
      <c r="A359" t="s">
        <v>23</v>
      </c>
      <c r="B359">
        <v>400</v>
      </c>
      <c r="C359">
        <v>20</v>
      </c>
      <c r="D359">
        <v>8</v>
      </c>
      <c r="E359">
        <v>0.32900000000000001</v>
      </c>
      <c r="F359">
        <v>2280</v>
      </c>
      <c r="G359">
        <v>1157</v>
      </c>
      <c r="H359">
        <v>0.3</v>
      </c>
    </row>
    <row r="360" spans="1:8" x14ac:dyDescent="0.25">
      <c r="A360" t="s">
        <v>23</v>
      </c>
      <c r="B360">
        <v>400</v>
      </c>
      <c r="C360">
        <v>20</v>
      </c>
      <c r="D360">
        <v>9</v>
      </c>
      <c r="E360">
        <v>0.28000000000000003</v>
      </c>
      <c r="F360">
        <v>1566</v>
      </c>
      <c r="G360">
        <v>1177</v>
      </c>
      <c r="H360">
        <v>0.3</v>
      </c>
    </row>
    <row r="361" spans="1:8" x14ac:dyDescent="0.25">
      <c r="A361" t="s">
        <v>23</v>
      </c>
      <c r="B361">
        <v>400</v>
      </c>
      <c r="C361">
        <v>20</v>
      </c>
      <c r="D361">
        <v>10</v>
      </c>
      <c r="E361">
        <v>0.17299999999999999</v>
      </c>
      <c r="F361">
        <v>1065</v>
      </c>
      <c r="G361">
        <v>1194</v>
      </c>
      <c r="H361">
        <v>0.3</v>
      </c>
    </row>
    <row r="362" spans="1:8" x14ac:dyDescent="0.25">
      <c r="A362" t="s">
        <v>23</v>
      </c>
      <c r="B362">
        <v>400</v>
      </c>
      <c r="C362">
        <v>20</v>
      </c>
      <c r="D362">
        <v>1</v>
      </c>
      <c r="E362">
        <v>0.246</v>
      </c>
      <c r="F362">
        <v>1718</v>
      </c>
      <c r="G362">
        <v>1192</v>
      </c>
      <c r="H362">
        <v>0.4</v>
      </c>
    </row>
    <row r="363" spans="1:8" x14ac:dyDescent="0.25">
      <c r="A363" t="s">
        <v>23</v>
      </c>
      <c r="B363">
        <v>400</v>
      </c>
      <c r="C363">
        <v>20</v>
      </c>
      <c r="D363">
        <v>2</v>
      </c>
      <c r="E363">
        <v>0.20599999999999999</v>
      </c>
      <c r="F363">
        <v>1401</v>
      </c>
      <c r="G363">
        <v>1160</v>
      </c>
      <c r="H363">
        <v>0.4</v>
      </c>
    </row>
    <row r="364" spans="1:8" x14ac:dyDescent="0.25">
      <c r="A364" t="s">
        <v>23</v>
      </c>
      <c r="B364">
        <v>400</v>
      </c>
      <c r="C364">
        <v>20</v>
      </c>
      <c r="D364">
        <v>3</v>
      </c>
      <c r="E364">
        <v>0.28999999999999998</v>
      </c>
      <c r="F364">
        <v>2015</v>
      </c>
      <c r="G364">
        <v>1183</v>
      </c>
      <c r="H364">
        <v>0.4</v>
      </c>
    </row>
    <row r="365" spans="1:8" x14ac:dyDescent="0.25">
      <c r="A365" t="s">
        <v>23</v>
      </c>
      <c r="B365">
        <v>400</v>
      </c>
      <c r="C365">
        <v>20</v>
      </c>
      <c r="D365">
        <v>4</v>
      </c>
      <c r="E365">
        <v>0.33</v>
      </c>
      <c r="F365">
        <v>2251</v>
      </c>
      <c r="G365">
        <v>1158</v>
      </c>
      <c r="H365">
        <v>0.4</v>
      </c>
    </row>
    <row r="366" spans="1:8" x14ac:dyDescent="0.25">
      <c r="A366" t="s">
        <v>23</v>
      </c>
      <c r="B366">
        <v>400</v>
      </c>
      <c r="C366">
        <v>20</v>
      </c>
      <c r="D366">
        <v>5</v>
      </c>
      <c r="E366">
        <v>0.249</v>
      </c>
      <c r="F366">
        <v>1693</v>
      </c>
      <c r="G366">
        <v>1145</v>
      </c>
      <c r="H366">
        <v>0.4</v>
      </c>
    </row>
    <row r="367" spans="1:8" x14ac:dyDescent="0.25">
      <c r="A367" t="s">
        <v>23</v>
      </c>
      <c r="B367">
        <v>400</v>
      </c>
      <c r="C367">
        <v>20</v>
      </c>
      <c r="D367">
        <v>6</v>
      </c>
      <c r="E367">
        <v>0.27800000000000002</v>
      </c>
      <c r="F367">
        <v>1894</v>
      </c>
      <c r="G367">
        <v>1162</v>
      </c>
      <c r="H367">
        <v>0.4</v>
      </c>
    </row>
    <row r="368" spans="1:8" x14ac:dyDescent="0.25">
      <c r="A368" t="s">
        <v>23</v>
      </c>
      <c r="B368">
        <v>400</v>
      </c>
      <c r="C368">
        <v>20</v>
      </c>
      <c r="D368">
        <v>7</v>
      </c>
      <c r="E368">
        <v>0.34499999999999997</v>
      </c>
      <c r="F368">
        <v>2024</v>
      </c>
      <c r="G368">
        <v>1180</v>
      </c>
      <c r="H368">
        <v>0.4</v>
      </c>
    </row>
    <row r="369" spans="1:8" x14ac:dyDescent="0.25">
      <c r="A369" t="s">
        <v>23</v>
      </c>
      <c r="B369">
        <v>400</v>
      </c>
      <c r="C369">
        <v>20</v>
      </c>
      <c r="D369">
        <v>8</v>
      </c>
      <c r="E369">
        <v>0.17599999999999999</v>
      </c>
      <c r="F369">
        <v>1241</v>
      </c>
      <c r="G369">
        <v>1263</v>
      </c>
      <c r="H369">
        <v>0.4</v>
      </c>
    </row>
    <row r="370" spans="1:8" x14ac:dyDescent="0.25">
      <c r="A370" t="s">
        <v>23</v>
      </c>
      <c r="B370">
        <v>400</v>
      </c>
      <c r="C370">
        <v>20</v>
      </c>
      <c r="D370">
        <v>9</v>
      </c>
      <c r="E370">
        <v>0.17699999999999999</v>
      </c>
      <c r="F370">
        <v>1159</v>
      </c>
      <c r="G370">
        <v>1179</v>
      </c>
      <c r="H370">
        <v>0.4</v>
      </c>
    </row>
    <row r="371" spans="1:8" x14ac:dyDescent="0.25">
      <c r="A371" t="s">
        <v>23</v>
      </c>
      <c r="B371">
        <v>400</v>
      </c>
      <c r="C371">
        <v>20</v>
      </c>
      <c r="D371">
        <v>10</v>
      </c>
      <c r="E371">
        <v>0.20499999999999999</v>
      </c>
      <c r="F371">
        <v>1425</v>
      </c>
      <c r="G371">
        <v>1218</v>
      </c>
      <c r="H371">
        <v>0.4</v>
      </c>
    </row>
    <row r="372" spans="1:8" x14ac:dyDescent="0.25">
      <c r="A372" t="s">
        <v>23</v>
      </c>
      <c r="B372">
        <v>400</v>
      </c>
      <c r="C372">
        <v>20</v>
      </c>
      <c r="D372">
        <v>1</v>
      </c>
      <c r="E372">
        <v>0.17199999999999999</v>
      </c>
      <c r="F372">
        <v>1166</v>
      </c>
      <c r="G372">
        <v>1165</v>
      </c>
      <c r="H372">
        <v>0.5</v>
      </c>
    </row>
    <row r="373" spans="1:8" x14ac:dyDescent="0.25">
      <c r="A373" t="s">
        <v>23</v>
      </c>
      <c r="B373">
        <v>400</v>
      </c>
      <c r="C373">
        <v>20</v>
      </c>
      <c r="D373">
        <v>2</v>
      </c>
      <c r="E373">
        <v>0.315</v>
      </c>
      <c r="F373">
        <v>2163</v>
      </c>
      <c r="G373">
        <v>1169</v>
      </c>
      <c r="H373">
        <v>0.5</v>
      </c>
    </row>
    <row r="374" spans="1:8" x14ac:dyDescent="0.25">
      <c r="A374" t="s">
        <v>23</v>
      </c>
      <c r="B374">
        <v>400</v>
      </c>
      <c r="C374">
        <v>20</v>
      </c>
      <c r="D374">
        <v>3</v>
      </c>
      <c r="E374">
        <v>0.20300000000000001</v>
      </c>
      <c r="F374">
        <v>1381</v>
      </c>
      <c r="G374">
        <v>1180</v>
      </c>
      <c r="H374">
        <v>0.5</v>
      </c>
    </row>
    <row r="375" spans="1:8" x14ac:dyDescent="0.25">
      <c r="A375" t="s">
        <v>23</v>
      </c>
      <c r="B375">
        <v>400</v>
      </c>
      <c r="C375">
        <v>20</v>
      </c>
      <c r="D375">
        <v>4</v>
      </c>
      <c r="E375">
        <v>0.217</v>
      </c>
      <c r="F375">
        <v>1494</v>
      </c>
      <c r="G375">
        <v>1193</v>
      </c>
      <c r="H375">
        <v>0.5</v>
      </c>
    </row>
    <row r="376" spans="1:8" x14ac:dyDescent="0.25">
      <c r="A376" t="s">
        <v>23</v>
      </c>
      <c r="B376">
        <v>400</v>
      </c>
      <c r="C376">
        <v>20</v>
      </c>
      <c r="D376">
        <v>5</v>
      </c>
      <c r="E376">
        <v>0.371</v>
      </c>
      <c r="F376">
        <v>2111</v>
      </c>
      <c r="G376">
        <v>1182</v>
      </c>
      <c r="H376">
        <v>0.5</v>
      </c>
    </row>
    <row r="377" spans="1:8" x14ac:dyDescent="0.25">
      <c r="A377" t="s">
        <v>23</v>
      </c>
      <c r="B377">
        <v>400</v>
      </c>
      <c r="C377">
        <v>20</v>
      </c>
      <c r="D377">
        <v>6</v>
      </c>
      <c r="E377">
        <v>0.25</v>
      </c>
      <c r="F377">
        <v>1399</v>
      </c>
      <c r="G377">
        <v>1144</v>
      </c>
      <c r="H377">
        <v>0.5</v>
      </c>
    </row>
    <row r="378" spans="1:8" x14ac:dyDescent="0.25">
      <c r="A378" t="s">
        <v>23</v>
      </c>
      <c r="B378">
        <v>400</v>
      </c>
      <c r="C378">
        <v>20</v>
      </c>
      <c r="D378">
        <v>7</v>
      </c>
      <c r="E378">
        <v>0.19</v>
      </c>
      <c r="F378">
        <v>1264</v>
      </c>
      <c r="G378">
        <v>1131</v>
      </c>
      <c r="H378">
        <v>0.5</v>
      </c>
    </row>
    <row r="379" spans="1:8" x14ac:dyDescent="0.25">
      <c r="A379" t="s">
        <v>23</v>
      </c>
      <c r="B379">
        <v>400</v>
      </c>
      <c r="C379">
        <v>20</v>
      </c>
      <c r="D379">
        <v>8</v>
      </c>
      <c r="E379">
        <v>0.27300000000000002</v>
      </c>
      <c r="F379">
        <v>1875</v>
      </c>
      <c r="G379">
        <v>1188</v>
      </c>
      <c r="H379">
        <v>0.5</v>
      </c>
    </row>
    <row r="380" spans="1:8" x14ac:dyDescent="0.25">
      <c r="A380" t="s">
        <v>23</v>
      </c>
      <c r="B380">
        <v>400</v>
      </c>
      <c r="C380">
        <v>20</v>
      </c>
      <c r="D380">
        <v>9</v>
      </c>
      <c r="E380">
        <v>0.36699999999999999</v>
      </c>
      <c r="F380">
        <v>2574</v>
      </c>
      <c r="G380">
        <v>1174</v>
      </c>
      <c r="H380">
        <v>0.5</v>
      </c>
    </row>
    <row r="381" spans="1:8" x14ac:dyDescent="0.25">
      <c r="A381" t="s">
        <v>23</v>
      </c>
      <c r="B381">
        <v>400</v>
      </c>
      <c r="C381">
        <v>20</v>
      </c>
      <c r="D381">
        <v>10</v>
      </c>
      <c r="E381">
        <v>0.34</v>
      </c>
      <c r="F381">
        <v>2417</v>
      </c>
      <c r="G381">
        <v>1171</v>
      </c>
      <c r="H381">
        <v>0.5</v>
      </c>
    </row>
    <row r="382" spans="1:8" x14ac:dyDescent="0.25">
      <c r="A382" t="s">
        <v>23</v>
      </c>
      <c r="B382">
        <v>400</v>
      </c>
      <c r="C382">
        <v>20</v>
      </c>
      <c r="D382">
        <v>1</v>
      </c>
      <c r="E382">
        <v>0.317</v>
      </c>
      <c r="F382">
        <v>2220</v>
      </c>
      <c r="G382">
        <v>1164</v>
      </c>
      <c r="H382">
        <v>0.6</v>
      </c>
    </row>
    <row r="383" spans="1:8" x14ac:dyDescent="0.25">
      <c r="A383" t="s">
        <v>23</v>
      </c>
      <c r="B383">
        <v>400</v>
      </c>
      <c r="C383">
        <v>20</v>
      </c>
      <c r="D383">
        <v>2</v>
      </c>
      <c r="E383">
        <v>0.254</v>
      </c>
      <c r="F383">
        <v>1836</v>
      </c>
      <c r="G383">
        <v>1217</v>
      </c>
      <c r="H383">
        <v>0.6</v>
      </c>
    </row>
    <row r="384" spans="1:8" x14ac:dyDescent="0.25">
      <c r="A384" t="s">
        <v>23</v>
      </c>
      <c r="B384">
        <v>400</v>
      </c>
      <c r="C384">
        <v>20</v>
      </c>
      <c r="D384">
        <v>3</v>
      </c>
      <c r="E384">
        <v>0.21199999999999999</v>
      </c>
      <c r="F384">
        <v>1473</v>
      </c>
      <c r="G384">
        <v>1106</v>
      </c>
      <c r="H384">
        <v>0.6</v>
      </c>
    </row>
    <row r="385" spans="1:8" x14ac:dyDescent="0.25">
      <c r="A385" t="s">
        <v>23</v>
      </c>
      <c r="B385">
        <v>400</v>
      </c>
      <c r="C385">
        <v>20</v>
      </c>
      <c r="D385">
        <v>4</v>
      </c>
      <c r="E385">
        <v>0.183</v>
      </c>
      <c r="F385">
        <v>1143</v>
      </c>
      <c r="G385">
        <v>1185</v>
      </c>
      <c r="H385">
        <v>0.6</v>
      </c>
    </row>
    <row r="386" spans="1:8" x14ac:dyDescent="0.25">
      <c r="A386" t="s">
        <v>23</v>
      </c>
      <c r="B386">
        <v>400</v>
      </c>
      <c r="C386">
        <v>20</v>
      </c>
      <c r="D386">
        <v>5</v>
      </c>
      <c r="E386">
        <v>0.28100000000000003</v>
      </c>
      <c r="F386">
        <v>1927</v>
      </c>
      <c r="G386">
        <v>1221</v>
      </c>
      <c r="H386">
        <v>0.6</v>
      </c>
    </row>
    <row r="387" spans="1:8" x14ac:dyDescent="0.25">
      <c r="A387" t="s">
        <v>23</v>
      </c>
      <c r="B387">
        <v>400</v>
      </c>
      <c r="C387">
        <v>20</v>
      </c>
      <c r="D387">
        <v>6</v>
      </c>
      <c r="E387">
        <v>0.26400000000000001</v>
      </c>
      <c r="F387">
        <v>1854</v>
      </c>
      <c r="G387">
        <v>1206</v>
      </c>
      <c r="H387">
        <v>0.6</v>
      </c>
    </row>
    <row r="388" spans="1:8" x14ac:dyDescent="0.25">
      <c r="A388" t="s">
        <v>23</v>
      </c>
      <c r="B388">
        <v>400</v>
      </c>
      <c r="C388">
        <v>20</v>
      </c>
      <c r="D388">
        <v>7</v>
      </c>
      <c r="E388">
        <v>0.186</v>
      </c>
      <c r="F388">
        <v>1299</v>
      </c>
      <c r="G388">
        <v>1194</v>
      </c>
      <c r="H388">
        <v>0.6</v>
      </c>
    </row>
    <row r="389" spans="1:8" x14ac:dyDescent="0.25">
      <c r="A389" t="s">
        <v>23</v>
      </c>
      <c r="B389">
        <v>400</v>
      </c>
      <c r="C389">
        <v>20</v>
      </c>
      <c r="D389">
        <v>8</v>
      </c>
      <c r="E389">
        <v>0.214</v>
      </c>
      <c r="F389">
        <v>1481</v>
      </c>
      <c r="G389">
        <v>1228</v>
      </c>
      <c r="H389">
        <v>0.6</v>
      </c>
    </row>
    <row r="390" spans="1:8" x14ac:dyDescent="0.25">
      <c r="A390" t="s">
        <v>23</v>
      </c>
      <c r="B390">
        <v>400</v>
      </c>
      <c r="C390">
        <v>20</v>
      </c>
      <c r="D390">
        <v>9</v>
      </c>
      <c r="E390">
        <v>0.30099999999999999</v>
      </c>
      <c r="F390">
        <v>1983</v>
      </c>
      <c r="G390">
        <v>1190</v>
      </c>
      <c r="H390">
        <v>0.6</v>
      </c>
    </row>
    <row r="391" spans="1:8" x14ac:dyDescent="0.25">
      <c r="A391" t="s">
        <v>23</v>
      </c>
      <c r="B391">
        <v>400</v>
      </c>
      <c r="C391">
        <v>20</v>
      </c>
      <c r="D391">
        <v>10</v>
      </c>
      <c r="E391">
        <v>0.36599999999999999</v>
      </c>
      <c r="F391">
        <v>2626</v>
      </c>
      <c r="G391">
        <v>1201</v>
      </c>
      <c r="H391">
        <v>0.6</v>
      </c>
    </row>
    <row r="392" spans="1:8" x14ac:dyDescent="0.25">
      <c r="A392" t="s">
        <v>23</v>
      </c>
      <c r="B392">
        <v>400</v>
      </c>
      <c r="C392">
        <v>20</v>
      </c>
      <c r="D392">
        <v>1</v>
      </c>
      <c r="E392">
        <v>0.21299999999999999</v>
      </c>
      <c r="F392">
        <v>1363</v>
      </c>
      <c r="G392">
        <v>1269</v>
      </c>
      <c r="H392">
        <v>0.7</v>
      </c>
    </row>
    <row r="393" spans="1:8" x14ac:dyDescent="0.25">
      <c r="A393" t="s">
        <v>23</v>
      </c>
      <c r="B393">
        <v>400</v>
      </c>
      <c r="C393">
        <v>20</v>
      </c>
      <c r="D393">
        <v>2</v>
      </c>
      <c r="E393">
        <v>0.317</v>
      </c>
      <c r="F393">
        <v>2132</v>
      </c>
      <c r="G393">
        <v>1160</v>
      </c>
      <c r="H393">
        <v>0.7</v>
      </c>
    </row>
    <row r="394" spans="1:8" x14ac:dyDescent="0.25">
      <c r="A394" t="s">
        <v>23</v>
      </c>
      <c r="B394">
        <v>400</v>
      </c>
      <c r="C394">
        <v>20</v>
      </c>
      <c r="D394">
        <v>3</v>
      </c>
      <c r="E394">
        <v>0.219</v>
      </c>
      <c r="F394">
        <v>1379</v>
      </c>
      <c r="G394">
        <v>1304</v>
      </c>
      <c r="H394">
        <v>0.7</v>
      </c>
    </row>
    <row r="395" spans="1:8" x14ac:dyDescent="0.25">
      <c r="A395" t="s">
        <v>23</v>
      </c>
      <c r="B395">
        <v>400</v>
      </c>
      <c r="C395">
        <v>20</v>
      </c>
      <c r="D395">
        <v>4</v>
      </c>
      <c r="E395">
        <v>0.217</v>
      </c>
      <c r="F395">
        <v>1362</v>
      </c>
      <c r="G395">
        <v>1191</v>
      </c>
      <c r="H395">
        <v>0.7</v>
      </c>
    </row>
    <row r="396" spans="1:8" x14ac:dyDescent="0.25">
      <c r="A396" t="s">
        <v>23</v>
      </c>
      <c r="B396">
        <v>400</v>
      </c>
      <c r="C396">
        <v>20</v>
      </c>
      <c r="D396">
        <v>5</v>
      </c>
      <c r="E396">
        <v>0.215</v>
      </c>
      <c r="F396">
        <v>1481</v>
      </c>
      <c r="G396">
        <v>1215</v>
      </c>
      <c r="H396">
        <v>0.7</v>
      </c>
    </row>
    <row r="397" spans="1:8" x14ac:dyDescent="0.25">
      <c r="A397" t="s">
        <v>23</v>
      </c>
      <c r="B397">
        <v>400</v>
      </c>
      <c r="C397">
        <v>20</v>
      </c>
      <c r="D397">
        <v>6</v>
      </c>
      <c r="E397">
        <v>0.22800000000000001</v>
      </c>
      <c r="F397">
        <v>1603</v>
      </c>
      <c r="G397">
        <v>1209</v>
      </c>
      <c r="H397">
        <v>0.7</v>
      </c>
    </row>
    <row r="398" spans="1:8" x14ac:dyDescent="0.25">
      <c r="A398" t="s">
        <v>23</v>
      </c>
      <c r="B398">
        <v>400</v>
      </c>
      <c r="C398">
        <v>20</v>
      </c>
      <c r="D398">
        <v>7</v>
      </c>
      <c r="E398">
        <v>0.214</v>
      </c>
      <c r="F398">
        <v>1550</v>
      </c>
      <c r="G398">
        <v>1185</v>
      </c>
      <c r="H398">
        <v>0.7</v>
      </c>
    </row>
    <row r="399" spans="1:8" x14ac:dyDescent="0.25">
      <c r="A399" t="s">
        <v>23</v>
      </c>
      <c r="B399">
        <v>400</v>
      </c>
      <c r="C399">
        <v>20</v>
      </c>
      <c r="D399">
        <v>8</v>
      </c>
      <c r="E399">
        <v>0.29099999999999998</v>
      </c>
      <c r="F399">
        <v>2098</v>
      </c>
      <c r="G399">
        <v>1221</v>
      </c>
      <c r="H399">
        <v>0.7</v>
      </c>
    </row>
    <row r="400" spans="1:8" x14ac:dyDescent="0.25">
      <c r="A400" t="s">
        <v>23</v>
      </c>
      <c r="B400">
        <v>400</v>
      </c>
      <c r="C400">
        <v>20</v>
      </c>
      <c r="D400">
        <v>9</v>
      </c>
      <c r="E400">
        <v>0.157</v>
      </c>
      <c r="F400">
        <v>1066</v>
      </c>
      <c r="G400">
        <v>1244</v>
      </c>
      <c r="H400">
        <v>0.7</v>
      </c>
    </row>
    <row r="401" spans="1:8" x14ac:dyDescent="0.25">
      <c r="A401" t="s">
        <v>23</v>
      </c>
      <c r="B401">
        <v>400</v>
      </c>
      <c r="C401">
        <v>20</v>
      </c>
      <c r="D401">
        <v>10</v>
      </c>
      <c r="E401">
        <v>0.32800000000000001</v>
      </c>
      <c r="F401">
        <v>2287</v>
      </c>
      <c r="G401">
        <v>1226</v>
      </c>
      <c r="H401">
        <v>0.7</v>
      </c>
    </row>
    <row r="402" spans="1:8" x14ac:dyDescent="0.25">
      <c r="A402" t="s">
        <v>23</v>
      </c>
      <c r="B402">
        <v>400</v>
      </c>
      <c r="C402">
        <v>20</v>
      </c>
      <c r="D402">
        <v>1</v>
      </c>
      <c r="E402">
        <v>0.251</v>
      </c>
      <c r="F402">
        <v>1610</v>
      </c>
      <c r="G402">
        <v>1210</v>
      </c>
      <c r="H402">
        <v>0.8</v>
      </c>
    </row>
    <row r="403" spans="1:8" x14ac:dyDescent="0.25">
      <c r="A403" t="s">
        <v>23</v>
      </c>
      <c r="B403">
        <v>400</v>
      </c>
      <c r="C403">
        <v>20</v>
      </c>
      <c r="D403">
        <v>2</v>
      </c>
      <c r="E403">
        <v>0.188</v>
      </c>
      <c r="F403">
        <v>1312</v>
      </c>
      <c r="G403">
        <v>1250</v>
      </c>
      <c r="H403">
        <v>0.8</v>
      </c>
    </row>
    <row r="404" spans="1:8" x14ac:dyDescent="0.25">
      <c r="A404" t="s">
        <v>23</v>
      </c>
      <c r="B404">
        <v>400</v>
      </c>
      <c r="C404">
        <v>20</v>
      </c>
      <c r="D404">
        <v>3</v>
      </c>
      <c r="E404">
        <v>0.20399999999999999</v>
      </c>
      <c r="F404">
        <v>1441</v>
      </c>
      <c r="G404">
        <v>1241</v>
      </c>
      <c r="H404">
        <v>0.8</v>
      </c>
    </row>
    <row r="405" spans="1:8" x14ac:dyDescent="0.25">
      <c r="A405" t="s">
        <v>23</v>
      </c>
      <c r="B405">
        <v>400</v>
      </c>
      <c r="C405">
        <v>20</v>
      </c>
      <c r="D405">
        <v>4</v>
      </c>
      <c r="E405">
        <v>0.19600000000000001</v>
      </c>
      <c r="F405">
        <v>1361</v>
      </c>
      <c r="G405">
        <v>1269</v>
      </c>
      <c r="H405">
        <v>0.8</v>
      </c>
    </row>
    <row r="406" spans="1:8" x14ac:dyDescent="0.25">
      <c r="A406" t="s">
        <v>23</v>
      </c>
      <c r="B406">
        <v>400</v>
      </c>
      <c r="C406">
        <v>20</v>
      </c>
      <c r="D406">
        <v>5</v>
      </c>
      <c r="E406">
        <v>0.51</v>
      </c>
      <c r="F406">
        <v>2925</v>
      </c>
      <c r="G406">
        <v>1167</v>
      </c>
      <c r="H406">
        <v>0.8</v>
      </c>
    </row>
    <row r="407" spans="1:8" x14ac:dyDescent="0.25">
      <c r="A407" t="s">
        <v>23</v>
      </c>
      <c r="B407">
        <v>400</v>
      </c>
      <c r="C407">
        <v>20</v>
      </c>
      <c r="D407">
        <v>6</v>
      </c>
      <c r="E407">
        <v>0.28299999999999997</v>
      </c>
      <c r="F407">
        <v>1808</v>
      </c>
      <c r="G407">
        <v>1219</v>
      </c>
      <c r="H407">
        <v>0.8</v>
      </c>
    </row>
    <row r="408" spans="1:8" x14ac:dyDescent="0.25">
      <c r="A408" t="s">
        <v>23</v>
      </c>
      <c r="B408">
        <v>400</v>
      </c>
      <c r="C408">
        <v>20</v>
      </c>
      <c r="D408">
        <v>7</v>
      </c>
      <c r="E408">
        <v>0.66400000000000003</v>
      </c>
      <c r="F408">
        <v>4603</v>
      </c>
      <c r="G408">
        <v>1188</v>
      </c>
      <c r="H408">
        <v>0.8</v>
      </c>
    </row>
    <row r="409" spans="1:8" x14ac:dyDescent="0.25">
      <c r="A409" t="s">
        <v>23</v>
      </c>
      <c r="B409">
        <v>400</v>
      </c>
      <c r="C409">
        <v>20</v>
      </c>
      <c r="D409">
        <v>8</v>
      </c>
      <c r="E409">
        <v>0.32100000000000001</v>
      </c>
      <c r="F409">
        <v>2338</v>
      </c>
      <c r="G409">
        <v>1254</v>
      </c>
      <c r="H409">
        <v>0.8</v>
      </c>
    </row>
    <row r="410" spans="1:8" x14ac:dyDescent="0.25">
      <c r="A410" t="s">
        <v>23</v>
      </c>
      <c r="B410">
        <v>400</v>
      </c>
      <c r="C410">
        <v>20</v>
      </c>
      <c r="D410">
        <v>9</v>
      </c>
      <c r="E410">
        <v>0.377</v>
      </c>
      <c r="F410">
        <v>2148</v>
      </c>
      <c r="G410">
        <v>1229</v>
      </c>
      <c r="H410">
        <v>0.8</v>
      </c>
    </row>
    <row r="411" spans="1:8" x14ac:dyDescent="0.25">
      <c r="A411" t="s">
        <v>23</v>
      </c>
      <c r="B411">
        <v>400</v>
      </c>
      <c r="C411">
        <v>20</v>
      </c>
      <c r="D411">
        <v>10</v>
      </c>
      <c r="E411">
        <v>0.28000000000000003</v>
      </c>
      <c r="F411">
        <v>1733</v>
      </c>
      <c r="G411">
        <v>1287</v>
      </c>
      <c r="H411">
        <v>0.8</v>
      </c>
    </row>
    <row r="412" spans="1:8" x14ac:dyDescent="0.25">
      <c r="A412" t="s">
        <v>23</v>
      </c>
      <c r="B412">
        <v>400</v>
      </c>
      <c r="C412">
        <v>20</v>
      </c>
      <c r="D412">
        <v>1</v>
      </c>
      <c r="E412">
        <v>0.27300000000000002</v>
      </c>
      <c r="F412">
        <v>1994</v>
      </c>
      <c r="G412">
        <v>1215</v>
      </c>
      <c r="H412">
        <v>0.9</v>
      </c>
    </row>
    <row r="413" spans="1:8" x14ac:dyDescent="0.25">
      <c r="A413" t="s">
        <v>23</v>
      </c>
      <c r="B413">
        <v>400</v>
      </c>
      <c r="C413">
        <v>20</v>
      </c>
      <c r="D413">
        <v>2</v>
      </c>
      <c r="E413">
        <v>0.28599999999999998</v>
      </c>
      <c r="F413">
        <v>2100</v>
      </c>
      <c r="G413">
        <v>1258</v>
      </c>
      <c r="H413">
        <v>0.9</v>
      </c>
    </row>
    <row r="414" spans="1:8" x14ac:dyDescent="0.25">
      <c r="A414" t="s">
        <v>23</v>
      </c>
      <c r="B414">
        <v>400</v>
      </c>
      <c r="C414">
        <v>20</v>
      </c>
      <c r="D414">
        <v>3</v>
      </c>
      <c r="E414">
        <v>0.33200000000000002</v>
      </c>
      <c r="F414">
        <v>2465</v>
      </c>
      <c r="G414">
        <v>1234</v>
      </c>
      <c r="H414">
        <v>0.9</v>
      </c>
    </row>
    <row r="415" spans="1:8" x14ac:dyDescent="0.25">
      <c r="A415" t="s">
        <v>23</v>
      </c>
      <c r="B415">
        <v>400</v>
      </c>
      <c r="C415">
        <v>20</v>
      </c>
      <c r="D415">
        <v>4</v>
      </c>
      <c r="E415">
        <v>0.17899999999999999</v>
      </c>
      <c r="F415">
        <v>1056</v>
      </c>
      <c r="G415">
        <v>1244</v>
      </c>
      <c r="H415">
        <v>0.9</v>
      </c>
    </row>
    <row r="416" spans="1:8" x14ac:dyDescent="0.25">
      <c r="A416" t="s">
        <v>23</v>
      </c>
      <c r="B416">
        <v>400</v>
      </c>
      <c r="C416">
        <v>20</v>
      </c>
      <c r="D416">
        <v>5</v>
      </c>
      <c r="E416">
        <v>0.24199999999999999</v>
      </c>
      <c r="F416">
        <v>1648</v>
      </c>
      <c r="G416">
        <v>1227</v>
      </c>
      <c r="H416">
        <v>0.9</v>
      </c>
    </row>
    <row r="417" spans="1:8" x14ac:dyDescent="0.25">
      <c r="A417" t="s">
        <v>23</v>
      </c>
      <c r="B417">
        <v>400</v>
      </c>
      <c r="C417">
        <v>20</v>
      </c>
      <c r="D417">
        <v>6</v>
      </c>
      <c r="E417">
        <v>0.184</v>
      </c>
      <c r="F417">
        <v>1000</v>
      </c>
      <c r="G417">
        <v>1330</v>
      </c>
      <c r="H417">
        <v>0.9</v>
      </c>
    </row>
    <row r="418" spans="1:8" x14ac:dyDescent="0.25">
      <c r="A418" t="s">
        <v>23</v>
      </c>
      <c r="B418">
        <v>400</v>
      </c>
      <c r="C418">
        <v>20</v>
      </c>
      <c r="D418">
        <v>7</v>
      </c>
      <c r="E418">
        <v>0.28699999999999998</v>
      </c>
      <c r="F418">
        <v>1725</v>
      </c>
      <c r="G418">
        <v>1233</v>
      </c>
      <c r="H418">
        <v>0.9</v>
      </c>
    </row>
    <row r="419" spans="1:8" x14ac:dyDescent="0.25">
      <c r="A419" t="s">
        <v>23</v>
      </c>
      <c r="B419">
        <v>400</v>
      </c>
      <c r="C419">
        <v>20</v>
      </c>
      <c r="D419">
        <v>8</v>
      </c>
      <c r="E419">
        <v>0.28000000000000003</v>
      </c>
      <c r="F419">
        <v>1582</v>
      </c>
      <c r="G419">
        <v>1234</v>
      </c>
      <c r="H419">
        <v>0.9</v>
      </c>
    </row>
    <row r="420" spans="1:8" x14ac:dyDescent="0.25">
      <c r="A420" t="s">
        <v>23</v>
      </c>
      <c r="B420">
        <v>400</v>
      </c>
      <c r="C420">
        <v>20</v>
      </c>
      <c r="D420">
        <v>9</v>
      </c>
      <c r="E420">
        <v>0.14399999999999999</v>
      </c>
      <c r="F420">
        <v>1018</v>
      </c>
      <c r="G420">
        <v>1303</v>
      </c>
      <c r="H420">
        <v>0.9</v>
      </c>
    </row>
    <row r="421" spans="1:8" x14ac:dyDescent="0.25">
      <c r="A421" t="s">
        <v>23</v>
      </c>
      <c r="B421">
        <v>400</v>
      </c>
      <c r="C421">
        <v>20</v>
      </c>
      <c r="D421">
        <v>10</v>
      </c>
      <c r="E421">
        <v>0.20699999999999999</v>
      </c>
      <c r="F421">
        <v>1102</v>
      </c>
      <c r="G421">
        <v>1186</v>
      </c>
      <c r="H421">
        <v>0.9</v>
      </c>
    </row>
    <row r="422" spans="1:8" x14ac:dyDescent="0.25">
      <c r="A422" t="s">
        <v>23</v>
      </c>
      <c r="B422">
        <v>354</v>
      </c>
      <c r="C422">
        <v>50</v>
      </c>
      <c r="D422">
        <v>1</v>
      </c>
      <c r="E422">
        <v>0.57099999999999995</v>
      </c>
      <c r="F422">
        <v>2344</v>
      </c>
      <c r="G422">
        <v>479</v>
      </c>
      <c r="H422">
        <v>0.1</v>
      </c>
    </row>
    <row r="423" spans="1:8" x14ac:dyDescent="0.25">
      <c r="A423" t="s">
        <v>23</v>
      </c>
      <c r="B423">
        <v>354</v>
      </c>
      <c r="C423">
        <v>50</v>
      </c>
      <c r="D423">
        <v>2</v>
      </c>
      <c r="E423">
        <v>0.61399999999999999</v>
      </c>
      <c r="F423">
        <v>2571</v>
      </c>
      <c r="G423">
        <v>506</v>
      </c>
      <c r="H423">
        <v>0.1</v>
      </c>
    </row>
    <row r="424" spans="1:8" x14ac:dyDescent="0.25">
      <c r="A424" t="s">
        <v>23</v>
      </c>
      <c r="B424">
        <v>354</v>
      </c>
      <c r="C424">
        <v>50</v>
      </c>
      <c r="D424">
        <v>3</v>
      </c>
      <c r="E424">
        <v>0.65800000000000003</v>
      </c>
      <c r="F424">
        <v>2506</v>
      </c>
      <c r="G424">
        <v>480</v>
      </c>
      <c r="H424">
        <v>0.1</v>
      </c>
    </row>
    <row r="425" spans="1:8" x14ac:dyDescent="0.25">
      <c r="A425" t="s">
        <v>23</v>
      </c>
      <c r="B425">
        <v>354</v>
      </c>
      <c r="C425">
        <v>50</v>
      </c>
      <c r="D425">
        <v>4</v>
      </c>
      <c r="E425">
        <v>0.371</v>
      </c>
      <c r="F425">
        <v>1561</v>
      </c>
      <c r="G425">
        <v>512</v>
      </c>
      <c r="H425">
        <v>0.1</v>
      </c>
    </row>
    <row r="426" spans="1:8" x14ac:dyDescent="0.25">
      <c r="A426" t="s">
        <v>23</v>
      </c>
      <c r="B426">
        <v>354</v>
      </c>
      <c r="C426">
        <v>50</v>
      </c>
      <c r="D426">
        <v>5</v>
      </c>
      <c r="E426">
        <v>0.33200000000000002</v>
      </c>
      <c r="F426">
        <v>1428</v>
      </c>
      <c r="G426">
        <v>518</v>
      </c>
      <c r="H426">
        <v>0.1</v>
      </c>
    </row>
    <row r="427" spans="1:8" x14ac:dyDescent="0.25">
      <c r="A427" t="s">
        <v>23</v>
      </c>
      <c r="B427">
        <v>354</v>
      </c>
      <c r="C427">
        <v>50</v>
      </c>
      <c r="D427">
        <v>6</v>
      </c>
      <c r="E427">
        <v>0.36699999999999999</v>
      </c>
      <c r="F427">
        <v>1577</v>
      </c>
      <c r="G427">
        <v>490</v>
      </c>
      <c r="H427">
        <v>0.1</v>
      </c>
    </row>
    <row r="428" spans="1:8" x14ac:dyDescent="0.25">
      <c r="A428" t="s">
        <v>23</v>
      </c>
      <c r="B428">
        <v>354</v>
      </c>
      <c r="C428">
        <v>50</v>
      </c>
      <c r="D428">
        <v>7</v>
      </c>
      <c r="E428">
        <v>0.66</v>
      </c>
      <c r="F428">
        <v>2669</v>
      </c>
      <c r="G428">
        <v>500</v>
      </c>
      <c r="H428">
        <v>0.1</v>
      </c>
    </row>
    <row r="429" spans="1:8" x14ac:dyDescent="0.25">
      <c r="A429" t="s">
        <v>23</v>
      </c>
      <c r="B429">
        <v>354</v>
      </c>
      <c r="C429">
        <v>50</v>
      </c>
      <c r="D429">
        <v>8</v>
      </c>
      <c r="E429">
        <v>0.47</v>
      </c>
      <c r="F429">
        <v>1957</v>
      </c>
      <c r="G429">
        <v>495</v>
      </c>
      <c r="H429">
        <v>0.1</v>
      </c>
    </row>
    <row r="430" spans="1:8" x14ac:dyDescent="0.25">
      <c r="A430" t="s">
        <v>23</v>
      </c>
      <c r="B430">
        <v>354</v>
      </c>
      <c r="C430">
        <v>50</v>
      </c>
      <c r="D430">
        <v>9</v>
      </c>
      <c r="E430">
        <v>0.64400000000000002</v>
      </c>
      <c r="F430">
        <v>2759</v>
      </c>
      <c r="G430">
        <v>457</v>
      </c>
      <c r="H430">
        <v>0.1</v>
      </c>
    </row>
    <row r="431" spans="1:8" x14ac:dyDescent="0.25">
      <c r="A431" t="s">
        <v>23</v>
      </c>
      <c r="B431">
        <v>354</v>
      </c>
      <c r="C431">
        <v>50</v>
      </c>
      <c r="D431">
        <v>10</v>
      </c>
      <c r="E431">
        <v>0.58399999999999996</v>
      </c>
      <c r="F431">
        <v>2470</v>
      </c>
      <c r="G431">
        <v>498</v>
      </c>
      <c r="H431">
        <v>0.1</v>
      </c>
    </row>
    <row r="432" spans="1:8" x14ac:dyDescent="0.25">
      <c r="A432" t="s">
        <v>23</v>
      </c>
      <c r="B432">
        <v>354</v>
      </c>
      <c r="C432">
        <v>50</v>
      </c>
      <c r="D432">
        <v>1</v>
      </c>
      <c r="E432">
        <v>1.075</v>
      </c>
      <c r="F432">
        <v>3991</v>
      </c>
      <c r="G432">
        <v>492</v>
      </c>
      <c r="H432">
        <v>0.2</v>
      </c>
    </row>
    <row r="433" spans="1:8" x14ac:dyDescent="0.25">
      <c r="A433" t="s">
        <v>23</v>
      </c>
      <c r="B433">
        <v>354</v>
      </c>
      <c r="C433">
        <v>50</v>
      </c>
      <c r="D433">
        <v>2</v>
      </c>
      <c r="E433">
        <v>1.1459999999999999</v>
      </c>
      <c r="F433">
        <v>4236</v>
      </c>
      <c r="G433">
        <v>495</v>
      </c>
      <c r="H433">
        <v>0.2</v>
      </c>
    </row>
    <row r="434" spans="1:8" x14ac:dyDescent="0.25">
      <c r="A434" t="s">
        <v>23</v>
      </c>
      <c r="B434">
        <v>354</v>
      </c>
      <c r="C434">
        <v>50</v>
      </c>
      <c r="D434">
        <v>3</v>
      </c>
      <c r="E434">
        <v>0.35299999999999998</v>
      </c>
      <c r="F434">
        <v>1403</v>
      </c>
      <c r="G434">
        <v>502</v>
      </c>
      <c r="H434">
        <v>0.2</v>
      </c>
    </row>
    <row r="435" spans="1:8" x14ac:dyDescent="0.25">
      <c r="A435" t="s">
        <v>23</v>
      </c>
      <c r="B435">
        <v>354</v>
      </c>
      <c r="C435">
        <v>50</v>
      </c>
      <c r="D435">
        <v>4</v>
      </c>
      <c r="E435">
        <v>0.47899999999999998</v>
      </c>
      <c r="F435">
        <v>1994</v>
      </c>
      <c r="G435">
        <v>501</v>
      </c>
      <c r="H435">
        <v>0.2</v>
      </c>
    </row>
    <row r="436" spans="1:8" x14ac:dyDescent="0.25">
      <c r="A436" t="s">
        <v>23</v>
      </c>
      <c r="B436">
        <v>354</v>
      </c>
      <c r="C436">
        <v>50</v>
      </c>
      <c r="D436">
        <v>5</v>
      </c>
      <c r="E436">
        <v>0.36</v>
      </c>
      <c r="F436">
        <v>1523</v>
      </c>
      <c r="G436">
        <v>515</v>
      </c>
      <c r="H436">
        <v>0.2</v>
      </c>
    </row>
    <row r="437" spans="1:8" x14ac:dyDescent="0.25">
      <c r="A437" t="s">
        <v>23</v>
      </c>
      <c r="B437">
        <v>354</v>
      </c>
      <c r="C437">
        <v>50</v>
      </c>
      <c r="D437">
        <v>6</v>
      </c>
      <c r="E437">
        <v>0.54400000000000004</v>
      </c>
      <c r="F437">
        <v>2290</v>
      </c>
      <c r="G437">
        <v>493</v>
      </c>
      <c r="H437">
        <v>0.2</v>
      </c>
    </row>
    <row r="438" spans="1:8" x14ac:dyDescent="0.25">
      <c r="A438" t="s">
        <v>23</v>
      </c>
      <c r="B438">
        <v>354</v>
      </c>
      <c r="C438">
        <v>50</v>
      </c>
      <c r="D438">
        <v>7</v>
      </c>
      <c r="E438">
        <v>0.39600000000000002</v>
      </c>
      <c r="F438">
        <v>1657</v>
      </c>
      <c r="G438">
        <v>508</v>
      </c>
      <c r="H438">
        <v>0.2</v>
      </c>
    </row>
    <row r="439" spans="1:8" x14ac:dyDescent="0.25">
      <c r="A439" t="s">
        <v>23</v>
      </c>
      <c r="B439">
        <v>354</v>
      </c>
      <c r="C439">
        <v>50</v>
      </c>
      <c r="D439">
        <v>8</v>
      </c>
      <c r="E439">
        <v>0.38800000000000001</v>
      </c>
      <c r="F439">
        <v>1643</v>
      </c>
      <c r="G439">
        <v>482</v>
      </c>
      <c r="H439">
        <v>0.2</v>
      </c>
    </row>
    <row r="440" spans="1:8" x14ac:dyDescent="0.25">
      <c r="A440" t="s">
        <v>23</v>
      </c>
      <c r="B440">
        <v>354</v>
      </c>
      <c r="C440">
        <v>50</v>
      </c>
      <c r="D440">
        <v>9</v>
      </c>
      <c r="E440">
        <v>0.33300000000000002</v>
      </c>
      <c r="F440">
        <v>1256</v>
      </c>
      <c r="G440">
        <v>562</v>
      </c>
      <c r="H440">
        <v>0.2</v>
      </c>
    </row>
    <row r="441" spans="1:8" x14ac:dyDescent="0.25">
      <c r="A441" t="s">
        <v>23</v>
      </c>
      <c r="B441">
        <v>354</v>
      </c>
      <c r="C441">
        <v>50</v>
      </c>
      <c r="D441">
        <v>10</v>
      </c>
      <c r="E441">
        <v>1.012</v>
      </c>
      <c r="F441">
        <v>3201</v>
      </c>
      <c r="G441">
        <v>510</v>
      </c>
      <c r="H441">
        <v>0.2</v>
      </c>
    </row>
    <row r="442" spans="1:8" x14ac:dyDescent="0.25">
      <c r="A442" t="s">
        <v>23</v>
      </c>
      <c r="B442">
        <v>354</v>
      </c>
      <c r="C442">
        <v>50</v>
      </c>
      <c r="D442">
        <v>1</v>
      </c>
      <c r="E442">
        <v>0.30099999999999999</v>
      </c>
      <c r="F442">
        <v>1215</v>
      </c>
      <c r="G442">
        <v>535</v>
      </c>
      <c r="H442">
        <v>0.3</v>
      </c>
    </row>
    <row r="443" spans="1:8" x14ac:dyDescent="0.25">
      <c r="A443" t="s">
        <v>23</v>
      </c>
      <c r="B443">
        <v>354</v>
      </c>
      <c r="C443">
        <v>50</v>
      </c>
      <c r="D443">
        <v>2</v>
      </c>
      <c r="E443">
        <v>0.38200000000000001</v>
      </c>
      <c r="F443">
        <v>1485</v>
      </c>
      <c r="G443">
        <v>551</v>
      </c>
      <c r="H443">
        <v>0.3</v>
      </c>
    </row>
    <row r="444" spans="1:8" x14ac:dyDescent="0.25">
      <c r="A444" t="s">
        <v>23</v>
      </c>
      <c r="B444">
        <v>354</v>
      </c>
      <c r="C444">
        <v>50</v>
      </c>
      <c r="D444">
        <v>3</v>
      </c>
      <c r="E444">
        <v>0.45700000000000002</v>
      </c>
      <c r="F444">
        <v>1827</v>
      </c>
      <c r="G444">
        <v>546</v>
      </c>
      <c r="H444">
        <v>0.3</v>
      </c>
    </row>
    <row r="445" spans="1:8" x14ac:dyDescent="0.25">
      <c r="A445" t="s">
        <v>23</v>
      </c>
      <c r="B445">
        <v>354</v>
      </c>
      <c r="C445">
        <v>50</v>
      </c>
      <c r="D445">
        <v>4</v>
      </c>
      <c r="E445">
        <v>0.38500000000000001</v>
      </c>
      <c r="F445">
        <v>1560</v>
      </c>
      <c r="G445">
        <v>528</v>
      </c>
      <c r="H445">
        <v>0.3</v>
      </c>
    </row>
    <row r="446" spans="1:8" x14ac:dyDescent="0.25">
      <c r="A446" t="s">
        <v>23</v>
      </c>
      <c r="B446">
        <v>354</v>
      </c>
      <c r="C446">
        <v>50</v>
      </c>
      <c r="D446">
        <v>5</v>
      </c>
      <c r="E446">
        <v>0.56000000000000005</v>
      </c>
      <c r="F446">
        <v>2364</v>
      </c>
      <c r="G446">
        <v>541</v>
      </c>
      <c r="H446">
        <v>0.3</v>
      </c>
    </row>
    <row r="447" spans="1:8" x14ac:dyDescent="0.25">
      <c r="A447" t="s">
        <v>23</v>
      </c>
      <c r="B447">
        <v>354</v>
      </c>
      <c r="C447">
        <v>50</v>
      </c>
      <c r="D447">
        <v>6</v>
      </c>
      <c r="E447">
        <v>0.63200000000000001</v>
      </c>
      <c r="F447">
        <v>2503</v>
      </c>
      <c r="G447">
        <v>521</v>
      </c>
      <c r="H447">
        <v>0.3</v>
      </c>
    </row>
    <row r="448" spans="1:8" x14ac:dyDescent="0.25">
      <c r="A448" t="s">
        <v>23</v>
      </c>
      <c r="B448">
        <v>354</v>
      </c>
      <c r="C448">
        <v>50</v>
      </c>
      <c r="D448">
        <v>7</v>
      </c>
      <c r="E448">
        <v>0.32200000000000001</v>
      </c>
      <c r="F448">
        <v>1313</v>
      </c>
      <c r="G448">
        <v>598</v>
      </c>
      <c r="H448">
        <v>0.3</v>
      </c>
    </row>
    <row r="449" spans="1:8" x14ac:dyDescent="0.25">
      <c r="A449" t="s">
        <v>23</v>
      </c>
      <c r="B449">
        <v>354</v>
      </c>
      <c r="C449">
        <v>50</v>
      </c>
      <c r="D449">
        <v>8</v>
      </c>
      <c r="E449">
        <v>0.53400000000000003</v>
      </c>
      <c r="F449">
        <v>2240</v>
      </c>
      <c r="G449">
        <v>501</v>
      </c>
      <c r="H449">
        <v>0.3</v>
      </c>
    </row>
    <row r="450" spans="1:8" x14ac:dyDescent="0.25">
      <c r="A450" t="s">
        <v>23</v>
      </c>
      <c r="B450">
        <v>354</v>
      </c>
      <c r="C450">
        <v>50</v>
      </c>
      <c r="D450">
        <v>9</v>
      </c>
      <c r="E450">
        <v>0.40400000000000003</v>
      </c>
      <c r="F450">
        <v>1430</v>
      </c>
      <c r="G450">
        <v>526</v>
      </c>
      <c r="H450">
        <v>0.3</v>
      </c>
    </row>
    <row r="451" spans="1:8" x14ac:dyDescent="0.25">
      <c r="A451" t="s">
        <v>23</v>
      </c>
      <c r="B451">
        <v>354</v>
      </c>
      <c r="C451">
        <v>50</v>
      </c>
      <c r="D451">
        <v>10</v>
      </c>
      <c r="E451">
        <v>0.84799999999999998</v>
      </c>
      <c r="F451">
        <v>2786</v>
      </c>
      <c r="G451">
        <v>510</v>
      </c>
      <c r="H451">
        <v>0.3</v>
      </c>
    </row>
    <row r="452" spans="1:8" x14ac:dyDescent="0.25">
      <c r="A452" t="s">
        <v>23</v>
      </c>
      <c r="B452">
        <v>354</v>
      </c>
      <c r="C452">
        <v>50</v>
      </c>
      <c r="D452">
        <v>1</v>
      </c>
      <c r="E452">
        <v>0.32700000000000001</v>
      </c>
      <c r="F452">
        <v>1259</v>
      </c>
      <c r="G452">
        <v>547</v>
      </c>
      <c r="H452">
        <v>0.4</v>
      </c>
    </row>
    <row r="453" spans="1:8" x14ac:dyDescent="0.25">
      <c r="A453" t="s">
        <v>23</v>
      </c>
      <c r="B453">
        <v>354</v>
      </c>
      <c r="C453">
        <v>50</v>
      </c>
      <c r="D453">
        <v>2</v>
      </c>
      <c r="E453">
        <v>0.42099999999999999</v>
      </c>
      <c r="F453">
        <v>1716</v>
      </c>
      <c r="G453">
        <v>573</v>
      </c>
      <c r="H453">
        <v>0.4</v>
      </c>
    </row>
    <row r="454" spans="1:8" x14ac:dyDescent="0.25">
      <c r="A454" t="s">
        <v>23</v>
      </c>
      <c r="B454">
        <v>354</v>
      </c>
      <c r="C454">
        <v>50</v>
      </c>
      <c r="D454">
        <v>3</v>
      </c>
      <c r="E454">
        <v>0.38300000000000001</v>
      </c>
      <c r="F454">
        <v>1600</v>
      </c>
      <c r="G454">
        <v>557</v>
      </c>
      <c r="H454">
        <v>0.4</v>
      </c>
    </row>
    <row r="455" spans="1:8" x14ac:dyDescent="0.25">
      <c r="A455" t="s">
        <v>23</v>
      </c>
      <c r="B455">
        <v>354</v>
      </c>
      <c r="C455">
        <v>50</v>
      </c>
      <c r="D455">
        <v>4</v>
      </c>
      <c r="E455">
        <v>0.37</v>
      </c>
      <c r="F455">
        <v>1464</v>
      </c>
      <c r="G455">
        <v>572</v>
      </c>
      <c r="H455">
        <v>0.4</v>
      </c>
    </row>
    <row r="456" spans="1:8" x14ac:dyDescent="0.25">
      <c r="A456" t="s">
        <v>23</v>
      </c>
      <c r="B456">
        <v>354</v>
      </c>
      <c r="C456">
        <v>50</v>
      </c>
      <c r="D456">
        <v>5</v>
      </c>
      <c r="E456">
        <v>0.27300000000000002</v>
      </c>
      <c r="F456">
        <v>1065</v>
      </c>
      <c r="G456">
        <v>589</v>
      </c>
      <c r="H456">
        <v>0.4</v>
      </c>
    </row>
    <row r="457" spans="1:8" x14ac:dyDescent="0.25">
      <c r="A457" t="s">
        <v>23</v>
      </c>
      <c r="B457">
        <v>354</v>
      </c>
      <c r="C457">
        <v>50</v>
      </c>
      <c r="D457">
        <v>6</v>
      </c>
      <c r="E457">
        <v>0.55900000000000005</v>
      </c>
      <c r="F457">
        <v>1797</v>
      </c>
      <c r="G457">
        <v>536</v>
      </c>
      <c r="H457">
        <v>0.4</v>
      </c>
    </row>
    <row r="458" spans="1:8" x14ac:dyDescent="0.25">
      <c r="A458" t="s">
        <v>23</v>
      </c>
      <c r="B458">
        <v>354</v>
      </c>
      <c r="C458">
        <v>50</v>
      </c>
      <c r="D458">
        <v>7</v>
      </c>
      <c r="E458">
        <v>0.73399999999999999</v>
      </c>
      <c r="F458">
        <v>2350</v>
      </c>
      <c r="G458">
        <v>512</v>
      </c>
      <c r="H458">
        <v>0.4</v>
      </c>
    </row>
    <row r="459" spans="1:8" x14ac:dyDescent="0.25">
      <c r="A459" t="s">
        <v>23</v>
      </c>
      <c r="B459">
        <v>354</v>
      </c>
      <c r="C459">
        <v>50</v>
      </c>
      <c r="D459">
        <v>8</v>
      </c>
      <c r="E459">
        <v>0.59599999999999997</v>
      </c>
      <c r="F459">
        <v>2020</v>
      </c>
      <c r="G459">
        <v>527</v>
      </c>
      <c r="H459">
        <v>0.4</v>
      </c>
    </row>
    <row r="460" spans="1:8" x14ac:dyDescent="0.25">
      <c r="A460" t="s">
        <v>23</v>
      </c>
      <c r="B460">
        <v>354</v>
      </c>
      <c r="C460">
        <v>50</v>
      </c>
      <c r="D460">
        <v>9</v>
      </c>
      <c r="E460">
        <v>0.33200000000000002</v>
      </c>
      <c r="F460">
        <v>1273</v>
      </c>
      <c r="G460">
        <v>532</v>
      </c>
      <c r="H460">
        <v>0.4</v>
      </c>
    </row>
    <row r="461" spans="1:8" x14ac:dyDescent="0.25">
      <c r="A461" t="s">
        <v>23</v>
      </c>
      <c r="B461">
        <v>354</v>
      </c>
      <c r="C461">
        <v>50</v>
      </c>
      <c r="D461">
        <v>10</v>
      </c>
      <c r="E461">
        <v>0.378</v>
      </c>
      <c r="F461">
        <v>1525</v>
      </c>
      <c r="G461">
        <v>527</v>
      </c>
      <c r="H461">
        <v>0.4</v>
      </c>
    </row>
    <row r="462" spans="1:8" x14ac:dyDescent="0.25">
      <c r="A462" t="s">
        <v>23</v>
      </c>
      <c r="B462">
        <v>354</v>
      </c>
      <c r="C462">
        <v>50</v>
      </c>
      <c r="D462">
        <v>1</v>
      </c>
      <c r="E462">
        <v>0.48399999999999999</v>
      </c>
      <c r="F462">
        <v>1887</v>
      </c>
      <c r="G462">
        <v>542</v>
      </c>
      <c r="H462">
        <v>0.5</v>
      </c>
    </row>
    <row r="463" spans="1:8" x14ac:dyDescent="0.25">
      <c r="A463" t="s">
        <v>23</v>
      </c>
      <c r="B463">
        <v>354</v>
      </c>
      <c r="C463">
        <v>50</v>
      </c>
      <c r="D463">
        <v>2</v>
      </c>
      <c r="E463">
        <v>0.66100000000000003</v>
      </c>
      <c r="F463">
        <v>2731</v>
      </c>
      <c r="G463">
        <v>518</v>
      </c>
      <c r="H463">
        <v>0.5</v>
      </c>
    </row>
    <row r="464" spans="1:8" x14ac:dyDescent="0.25">
      <c r="A464" t="s">
        <v>23</v>
      </c>
      <c r="B464">
        <v>354</v>
      </c>
      <c r="C464">
        <v>50</v>
      </c>
      <c r="D464">
        <v>3</v>
      </c>
      <c r="E464">
        <v>0.36399999999999999</v>
      </c>
      <c r="F464">
        <v>1414</v>
      </c>
      <c r="G464">
        <v>572</v>
      </c>
      <c r="H464">
        <v>0.5</v>
      </c>
    </row>
    <row r="465" spans="1:8" x14ac:dyDescent="0.25">
      <c r="A465" t="s">
        <v>23</v>
      </c>
      <c r="B465">
        <v>354</v>
      </c>
      <c r="C465">
        <v>50</v>
      </c>
      <c r="D465">
        <v>4</v>
      </c>
      <c r="E465">
        <v>0.72399999999999998</v>
      </c>
      <c r="F465">
        <v>2417</v>
      </c>
      <c r="G465">
        <v>532</v>
      </c>
      <c r="H465">
        <v>0.5</v>
      </c>
    </row>
    <row r="466" spans="1:8" x14ac:dyDescent="0.25">
      <c r="A466" t="s">
        <v>23</v>
      </c>
      <c r="B466">
        <v>354</v>
      </c>
      <c r="C466">
        <v>50</v>
      </c>
      <c r="D466">
        <v>5</v>
      </c>
      <c r="E466">
        <v>0.49299999999999999</v>
      </c>
      <c r="F466">
        <v>2043</v>
      </c>
      <c r="G466">
        <v>535</v>
      </c>
      <c r="H466">
        <v>0.5</v>
      </c>
    </row>
    <row r="467" spans="1:8" x14ac:dyDescent="0.25">
      <c r="A467" t="s">
        <v>23</v>
      </c>
      <c r="B467">
        <v>354</v>
      </c>
      <c r="C467">
        <v>50</v>
      </c>
      <c r="D467">
        <v>6</v>
      </c>
      <c r="E467">
        <v>0.46300000000000002</v>
      </c>
      <c r="F467">
        <v>1933</v>
      </c>
      <c r="G467">
        <v>559</v>
      </c>
      <c r="H467">
        <v>0.5</v>
      </c>
    </row>
    <row r="468" spans="1:8" x14ac:dyDescent="0.25">
      <c r="A468" t="s">
        <v>23</v>
      </c>
      <c r="B468">
        <v>354</v>
      </c>
      <c r="C468">
        <v>50</v>
      </c>
      <c r="D468">
        <v>7</v>
      </c>
      <c r="E468">
        <v>0.47</v>
      </c>
      <c r="F468">
        <v>1915</v>
      </c>
      <c r="G468">
        <v>514</v>
      </c>
      <c r="H468">
        <v>0.5</v>
      </c>
    </row>
    <row r="469" spans="1:8" x14ac:dyDescent="0.25">
      <c r="A469" t="s">
        <v>23</v>
      </c>
      <c r="B469">
        <v>354</v>
      </c>
      <c r="C469">
        <v>50</v>
      </c>
      <c r="D469">
        <v>8</v>
      </c>
      <c r="E469">
        <v>0.625</v>
      </c>
      <c r="F469">
        <v>2659</v>
      </c>
      <c r="G469">
        <v>541</v>
      </c>
      <c r="H469">
        <v>0.5</v>
      </c>
    </row>
    <row r="470" spans="1:8" x14ac:dyDescent="0.25">
      <c r="A470" t="s">
        <v>23</v>
      </c>
      <c r="B470">
        <v>354</v>
      </c>
      <c r="C470">
        <v>50</v>
      </c>
      <c r="D470">
        <v>9</v>
      </c>
      <c r="E470">
        <v>0.86599999999999999</v>
      </c>
      <c r="F470">
        <v>2705</v>
      </c>
      <c r="G470">
        <v>528</v>
      </c>
      <c r="H470">
        <v>0.5</v>
      </c>
    </row>
    <row r="471" spans="1:8" x14ac:dyDescent="0.25">
      <c r="A471" t="s">
        <v>23</v>
      </c>
      <c r="B471">
        <v>354</v>
      </c>
      <c r="C471">
        <v>50</v>
      </c>
      <c r="D471">
        <v>10</v>
      </c>
      <c r="E471">
        <v>0.36399999999999999</v>
      </c>
      <c r="F471">
        <v>1355</v>
      </c>
      <c r="G471">
        <v>568</v>
      </c>
      <c r="H471">
        <v>0.5</v>
      </c>
    </row>
    <row r="472" spans="1:8" x14ac:dyDescent="0.25">
      <c r="A472" t="s">
        <v>23</v>
      </c>
      <c r="B472">
        <v>354</v>
      </c>
      <c r="C472">
        <v>50</v>
      </c>
      <c r="D472">
        <v>1</v>
      </c>
      <c r="E472">
        <v>0.28999999999999998</v>
      </c>
      <c r="F472">
        <v>1170</v>
      </c>
      <c r="G472">
        <v>544</v>
      </c>
      <c r="H472">
        <v>0.6</v>
      </c>
    </row>
    <row r="473" spans="1:8" x14ac:dyDescent="0.25">
      <c r="A473" t="s">
        <v>23</v>
      </c>
      <c r="B473">
        <v>354</v>
      </c>
      <c r="C473">
        <v>50</v>
      </c>
      <c r="D473">
        <v>2</v>
      </c>
      <c r="E473">
        <v>0.81699999999999995</v>
      </c>
      <c r="F473">
        <v>3400</v>
      </c>
      <c r="G473">
        <v>535</v>
      </c>
      <c r="H473">
        <v>0.6</v>
      </c>
    </row>
    <row r="474" spans="1:8" x14ac:dyDescent="0.25">
      <c r="A474" t="s">
        <v>23</v>
      </c>
      <c r="B474">
        <v>354</v>
      </c>
      <c r="C474">
        <v>50</v>
      </c>
      <c r="D474">
        <v>3</v>
      </c>
      <c r="E474">
        <v>0.56599999999999995</v>
      </c>
      <c r="F474">
        <v>1644</v>
      </c>
      <c r="G474">
        <v>576</v>
      </c>
      <c r="H474">
        <v>0.6</v>
      </c>
    </row>
    <row r="475" spans="1:8" x14ac:dyDescent="0.25">
      <c r="A475" t="s">
        <v>23</v>
      </c>
      <c r="B475">
        <v>354</v>
      </c>
      <c r="C475">
        <v>50</v>
      </c>
      <c r="D475">
        <v>4</v>
      </c>
      <c r="E475">
        <v>0.79400000000000004</v>
      </c>
      <c r="F475">
        <v>2562</v>
      </c>
      <c r="G475">
        <v>549</v>
      </c>
      <c r="H475">
        <v>0.6</v>
      </c>
    </row>
    <row r="476" spans="1:8" x14ac:dyDescent="0.25">
      <c r="A476" t="s">
        <v>23</v>
      </c>
      <c r="B476">
        <v>354</v>
      </c>
      <c r="C476">
        <v>50</v>
      </c>
      <c r="D476">
        <v>5</v>
      </c>
      <c r="E476">
        <v>0.61799999999999999</v>
      </c>
      <c r="F476">
        <v>2093</v>
      </c>
      <c r="G476">
        <v>550</v>
      </c>
      <c r="H476">
        <v>0.6</v>
      </c>
    </row>
    <row r="477" spans="1:8" x14ac:dyDescent="0.25">
      <c r="A477" t="s">
        <v>23</v>
      </c>
      <c r="B477">
        <v>354</v>
      </c>
      <c r="C477">
        <v>50</v>
      </c>
      <c r="D477">
        <v>6</v>
      </c>
      <c r="E477">
        <v>0.55500000000000005</v>
      </c>
      <c r="F477">
        <v>2032</v>
      </c>
      <c r="G477">
        <v>498</v>
      </c>
      <c r="H477">
        <v>0.6</v>
      </c>
    </row>
    <row r="478" spans="1:8" x14ac:dyDescent="0.25">
      <c r="A478" t="s">
        <v>23</v>
      </c>
      <c r="B478">
        <v>354</v>
      </c>
      <c r="C478">
        <v>50</v>
      </c>
      <c r="D478">
        <v>7</v>
      </c>
      <c r="E478">
        <v>0.25700000000000001</v>
      </c>
      <c r="F478">
        <v>1041</v>
      </c>
      <c r="G478">
        <v>576</v>
      </c>
      <c r="H478">
        <v>0.6</v>
      </c>
    </row>
    <row r="479" spans="1:8" x14ac:dyDescent="0.25">
      <c r="A479" t="s">
        <v>23</v>
      </c>
      <c r="B479">
        <v>354</v>
      </c>
      <c r="C479">
        <v>50</v>
      </c>
      <c r="D479">
        <v>8</v>
      </c>
      <c r="E479">
        <v>0.375</v>
      </c>
      <c r="F479">
        <v>1423</v>
      </c>
      <c r="G479">
        <v>568</v>
      </c>
      <c r="H479">
        <v>0.6</v>
      </c>
    </row>
    <row r="480" spans="1:8" x14ac:dyDescent="0.25">
      <c r="A480" t="s">
        <v>23</v>
      </c>
      <c r="B480">
        <v>354</v>
      </c>
      <c r="C480">
        <v>50</v>
      </c>
      <c r="D480">
        <v>9</v>
      </c>
      <c r="E480">
        <v>0.56599999999999995</v>
      </c>
      <c r="F480">
        <v>1854</v>
      </c>
      <c r="G480">
        <v>563</v>
      </c>
      <c r="H480">
        <v>0.6</v>
      </c>
    </row>
    <row r="481" spans="1:8" x14ac:dyDescent="0.25">
      <c r="A481" t="s">
        <v>23</v>
      </c>
      <c r="B481">
        <v>354</v>
      </c>
      <c r="C481">
        <v>50</v>
      </c>
      <c r="D481">
        <v>10</v>
      </c>
      <c r="E481">
        <v>0.68400000000000005</v>
      </c>
      <c r="F481">
        <v>2577</v>
      </c>
      <c r="G481">
        <v>525</v>
      </c>
      <c r="H481">
        <v>0.6</v>
      </c>
    </row>
    <row r="482" spans="1:8" x14ac:dyDescent="0.25">
      <c r="A482" t="s">
        <v>23</v>
      </c>
      <c r="B482">
        <v>354</v>
      </c>
      <c r="C482">
        <v>50</v>
      </c>
      <c r="D482">
        <v>1</v>
      </c>
      <c r="E482">
        <v>0.30599999999999999</v>
      </c>
      <c r="F482">
        <v>1263</v>
      </c>
      <c r="G482">
        <v>616</v>
      </c>
      <c r="H482">
        <v>0.7</v>
      </c>
    </row>
    <row r="483" spans="1:8" x14ac:dyDescent="0.25">
      <c r="A483" t="s">
        <v>23</v>
      </c>
      <c r="B483">
        <v>354</v>
      </c>
      <c r="C483">
        <v>50</v>
      </c>
      <c r="D483">
        <v>2</v>
      </c>
      <c r="E483">
        <v>0.24299999999999999</v>
      </c>
      <c r="F483">
        <v>1000</v>
      </c>
      <c r="G483">
        <v>578</v>
      </c>
      <c r="H483">
        <v>0.7</v>
      </c>
    </row>
    <row r="484" spans="1:8" x14ac:dyDescent="0.25">
      <c r="A484" t="s">
        <v>23</v>
      </c>
      <c r="B484">
        <v>354</v>
      </c>
      <c r="C484">
        <v>50</v>
      </c>
      <c r="D484">
        <v>3</v>
      </c>
      <c r="E484">
        <v>0.33400000000000002</v>
      </c>
      <c r="F484">
        <v>1290</v>
      </c>
      <c r="G484">
        <v>561</v>
      </c>
      <c r="H484">
        <v>0.7</v>
      </c>
    </row>
    <row r="485" spans="1:8" x14ac:dyDescent="0.25">
      <c r="A485" t="s">
        <v>23</v>
      </c>
      <c r="B485">
        <v>354</v>
      </c>
      <c r="C485">
        <v>50</v>
      </c>
      <c r="D485">
        <v>4</v>
      </c>
      <c r="E485">
        <v>0.72499999999999998</v>
      </c>
      <c r="F485">
        <v>2372</v>
      </c>
      <c r="G485">
        <v>528</v>
      </c>
      <c r="H485">
        <v>0.7</v>
      </c>
    </row>
    <row r="486" spans="1:8" x14ac:dyDescent="0.25">
      <c r="A486" t="s">
        <v>23</v>
      </c>
      <c r="B486">
        <v>354</v>
      </c>
      <c r="C486">
        <v>50</v>
      </c>
      <c r="D486">
        <v>5</v>
      </c>
      <c r="E486">
        <v>0.85699999999999998</v>
      </c>
      <c r="F486">
        <v>3436</v>
      </c>
      <c r="G486">
        <v>571</v>
      </c>
      <c r="H486">
        <v>0.7</v>
      </c>
    </row>
    <row r="487" spans="1:8" x14ac:dyDescent="0.25">
      <c r="A487" t="s">
        <v>23</v>
      </c>
      <c r="B487">
        <v>354</v>
      </c>
      <c r="C487">
        <v>50</v>
      </c>
      <c r="D487">
        <v>6</v>
      </c>
      <c r="E487">
        <v>0.73899999999999999</v>
      </c>
      <c r="F487">
        <v>2754</v>
      </c>
      <c r="G487">
        <v>544</v>
      </c>
      <c r="H487">
        <v>0.7</v>
      </c>
    </row>
    <row r="488" spans="1:8" x14ac:dyDescent="0.25">
      <c r="A488" t="s">
        <v>23</v>
      </c>
      <c r="B488">
        <v>354</v>
      </c>
      <c r="C488">
        <v>50</v>
      </c>
      <c r="D488">
        <v>7</v>
      </c>
      <c r="E488">
        <v>0.32400000000000001</v>
      </c>
      <c r="F488">
        <v>1281</v>
      </c>
      <c r="G488">
        <v>561</v>
      </c>
      <c r="H488">
        <v>0.7</v>
      </c>
    </row>
    <row r="489" spans="1:8" x14ac:dyDescent="0.25">
      <c r="A489" t="s">
        <v>23</v>
      </c>
      <c r="B489">
        <v>354</v>
      </c>
      <c r="C489">
        <v>50</v>
      </c>
      <c r="D489">
        <v>8</v>
      </c>
      <c r="E489">
        <v>0.434</v>
      </c>
      <c r="F489">
        <v>1534</v>
      </c>
      <c r="G489">
        <v>560</v>
      </c>
      <c r="H489">
        <v>0.7</v>
      </c>
    </row>
    <row r="490" spans="1:8" x14ac:dyDescent="0.25">
      <c r="A490" t="s">
        <v>23</v>
      </c>
      <c r="B490">
        <v>354</v>
      </c>
      <c r="C490">
        <v>50</v>
      </c>
      <c r="D490">
        <v>9</v>
      </c>
      <c r="E490">
        <v>0.503</v>
      </c>
      <c r="F490">
        <v>2080</v>
      </c>
      <c r="G490">
        <v>550</v>
      </c>
      <c r="H490">
        <v>0.7</v>
      </c>
    </row>
    <row r="491" spans="1:8" x14ac:dyDescent="0.25">
      <c r="A491" t="s">
        <v>23</v>
      </c>
      <c r="B491">
        <v>354</v>
      </c>
      <c r="C491">
        <v>50</v>
      </c>
      <c r="D491">
        <v>10</v>
      </c>
      <c r="E491">
        <v>0.32500000000000001</v>
      </c>
      <c r="F491">
        <v>1338</v>
      </c>
      <c r="G491">
        <v>546</v>
      </c>
      <c r="H491">
        <v>0.7</v>
      </c>
    </row>
    <row r="492" spans="1:8" x14ac:dyDescent="0.25">
      <c r="A492" t="s">
        <v>23</v>
      </c>
      <c r="B492">
        <v>354</v>
      </c>
      <c r="C492">
        <v>50</v>
      </c>
      <c r="D492">
        <v>1</v>
      </c>
      <c r="E492">
        <v>0.40300000000000002</v>
      </c>
      <c r="F492">
        <v>1628</v>
      </c>
      <c r="G492">
        <v>563</v>
      </c>
      <c r="H492">
        <v>0.8</v>
      </c>
    </row>
    <row r="493" spans="1:8" x14ac:dyDescent="0.25">
      <c r="A493" t="s">
        <v>23</v>
      </c>
      <c r="B493">
        <v>354</v>
      </c>
      <c r="C493">
        <v>50</v>
      </c>
      <c r="D493">
        <v>2</v>
      </c>
      <c r="E493">
        <v>0.48399999999999999</v>
      </c>
      <c r="F493">
        <v>1682</v>
      </c>
      <c r="G493">
        <v>558</v>
      </c>
      <c r="H493">
        <v>0.8</v>
      </c>
    </row>
    <row r="494" spans="1:8" x14ac:dyDescent="0.25">
      <c r="A494" t="s">
        <v>23</v>
      </c>
      <c r="B494">
        <v>354</v>
      </c>
      <c r="C494">
        <v>50</v>
      </c>
      <c r="D494">
        <v>3</v>
      </c>
      <c r="E494">
        <v>0.67400000000000004</v>
      </c>
      <c r="F494">
        <v>2737</v>
      </c>
      <c r="G494">
        <v>569</v>
      </c>
      <c r="H494">
        <v>0.8</v>
      </c>
    </row>
    <row r="495" spans="1:8" x14ac:dyDescent="0.25">
      <c r="A495" t="s">
        <v>23</v>
      </c>
      <c r="B495">
        <v>354</v>
      </c>
      <c r="C495">
        <v>50</v>
      </c>
      <c r="D495">
        <v>4</v>
      </c>
      <c r="E495">
        <v>0.25</v>
      </c>
      <c r="F495">
        <v>1026</v>
      </c>
      <c r="G495">
        <v>556</v>
      </c>
      <c r="H495">
        <v>0.8</v>
      </c>
    </row>
    <row r="496" spans="1:8" x14ac:dyDescent="0.25">
      <c r="A496" t="s">
        <v>23</v>
      </c>
      <c r="B496">
        <v>354</v>
      </c>
      <c r="C496">
        <v>50</v>
      </c>
      <c r="D496">
        <v>5</v>
      </c>
      <c r="E496">
        <v>0.622</v>
      </c>
      <c r="F496">
        <v>2138</v>
      </c>
      <c r="G496">
        <v>559</v>
      </c>
      <c r="H496">
        <v>0.8</v>
      </c>
    </row>
    <row r="497" spans="1:8" x14ac:dyDescent="0.25">
      <c r="A497" t="s">
        <v>23</v>
      </c>
      <c r="B497">
        <v>354</v>
      </c>
      <c r="C497">
        <v>50</v>
      </c>
      <c r="D497">
        <v>6</v>
      </c>
      <c r="E497">
        <v>0.248</v>
      </c>
      <c r="F497">
        <v>1000</v>
      </c>
      <c r="G497">
        <v>544</v>
      </c>
      <c r="H497">
        <v>0.8</v>
      </c>
    </row>
    <row r="498" spans="1:8" x14ac:dyDescent="0.25">
      <c r="A498" t="s">
        <v>23</v>
      </c>
      <c r="B498">
        <v>354</v>
      </c>
      <c r="C498">
        <v>50</v>
      </c>
      <c r="D498">
        <v>7</v>
      </c>
      <c r="E498">
        <v>0.34699999999999998</v>
      </c>
      <c r="F498">
        <v>1230</v>
      </c>
      <c r="G498">
        <v>557</v>
      </c>
      <c r="H498">
        <v>0.8</v>
      </c>
    </row>
    <row r="499" spans="1:8" x14ac:dyDescent="0.25">
      <c r="A499" t="s">
        <v>23</v>
      </c>
      <c r="B499">
        <v>354</v>
      </c>
      <c r="C499">
        <v>50</v>
      </c>
      <c r="D499">
        <v>8</v>
      </c>
      <c r="E499">
        <v>0.69599999999999995</v>
      </c>
      <c r="F499">
        <v>2906</v>
      </c>
      <c r="G499">
        <v>547</v>
      </c>
      <c r="H499">
        <v>0.8</v>
      </c>
    </row>
    <row r="500" spans="1:8" x14ac:dyDescent="0.25">
      <c r="A500" t="s">
        <v>23</v>
      </c>
      <c r="B500">
        <v>354</v>
      </c>
      <c r="C500">
        <v>50</v>
      </c>
      <c r="D500">
        <v>9</v>
      </c>
      <c r="E500">
        <v>0.39500000000000002</v>
      </c>
      <c r="F500">
        <v>1509</v>
      </c>
      <c r="G500">
        <v>598</v>
      </c>
      <c r="H500">
        <v>0.8</v>
      </c>
    </row>
    <row r="501" spans="1:8" x14ac:dyDescent="0.25">
      <c r="A501" t="s">
        <v>23</v>
      </c>
      <c r="B501">
        <v>354</v>
      </c>
      <c r="C501">
        <v>50</v>
      </c>
      <c r="D501">
        <v>10</v>
      </c>
      <c r="E501">
        <v>0.54400000000000004</v>
      </c>
      <c r="F501">
        <v>2290</v>
      </c>
      <c r="G501">
        <v>579</v>
      </c>
      <c r="H501">
        <v>0.8</v>
      </c>
    </row>
    <row r="502" spans="1:8" x14ac:dyDescent="0.25">
      <c r="A502" t="s">
        <v>23</v>
      </c>
      <c r="B502">
        <v>354</v>
      </c>
      <c r="C502">
        <v>50</v>
      </c>
      <c r="D502">
        <v>1</v>
      </c>
      <c r="E502">
        <v>0.57799999999999996</v>
      </c>
      <c r="F502">
        <v>2363</v>
      </c>
      <c r="G502">
        <v>624</v>
      </c>
      <c r="H502">
        <v>0.9</v>
      </c>
    </row>
    <row r="503" spans="1:8" x14ac:dyDescent="0.25">
      <c r="A503" t="s">
        <v>23</v>
      </c>
      <c r="B503">
        <v>354</v>
      </c>
      <c r="C503">
        <v>50</v>
      </c>
      <c r="D503">
        <v>2</v>
      </c>
      <c r="E503">
        <v>0.33200000000000002</v>
      </c>
      <c r="F503">
        <v>1375</v>
      </c>
      <c r="G503">
        <v>639</v>
      </c>
      <c r="H503">
        <v>0.9</v>
      </c>
    </row>
    <row r="504" spans="1:8" x14ac:dyDescent="0.25">
      <c r="A504" t="s">
        <v>23</v>
      </c>
      <c r="B504">
        <v>354</v>
      </c>
      <c r="C504">
        <v>50</v>
      </c>
      <c r="D504">
        <v>3</v>
      </c>
      <c r="E504">
        <v>0.53</v>
      </c>
      <c r="F504">
        <v>2155</v>
      </c>
      <c r="G504">
        <v>616</v>
      </c>
      <c r="H504">
        <v>0.9</v>
      </c>
    </row>
    <row r="505" spans="1:8" x14ac:dyDescent="0.25">
      <c r="A505" t="s">
        <v>23</v>
      </c>
      <c r="B505">
        <v>354</v>
      </c>
      <c r="C505">
        <v>50</v>
      </c>
      <c r="D505">
        <v>4</v>
      </c>
      <c r="E505">
        <v>0.54600000000000004</v>
      </c>
      <c r="F505">
        <v>1905</v>
      </c>
      <c r="G505">
        <v>600</v>
      </c>
      <c r="H505">
        <v>0.9</v>
      </c>
    </row>
    <row r="506" spans="1:8" x14ac:dyDescent="0.25">
      <c r="A506" t="s">
        <v>23</v>
      </c>
      <c r="B506">
        <v>354</v>
      </c>
      <c r="C506">
        <v>50</v>
      </c>
      <c r="D506">
        <v>5</v>
      </c>
      <c r="E506">
        <v>0.40400000000000003</v>
      </c>
      <c r="F506">
        <v>1590</v>
      </c>
      <c r="G506">
        <v>562</v>
      </c>
      <c r="H506">
        <v>0.9</v>
      </c>
    </row>
    <row r="507" spans="1:8" x14ac:dyDescent="0.25">
      <c r="A507" t="s">
        <v>23</v>
      </c>
      <c r="B507">
        <v>354</v>
      </c>
      <c r="C507">
        <v>50</v>
      </c>
      <c r="D507">
        <v>6</v>
      </c>
      <c r="E507">
        <v>0.39800000000000002</v>
      </c>
      <c r="F507">
        <v>1494</v>
      </c>
      <c r="G507">
        <v>594</v>
      </c>
      <c r="H507">
        <v>0.9</v>
      </c>
    </row>
    <row r="508" spans="1:8" x14ac:dyDescent="0.25">
      <c r="A508" t="s">
        <v>23</v>
      </c>
      <c r="B508">
        <v>354</v>
      </c>
      <c r="C508">
        <v>50</v>
      </c>
      <c r="D508">
        <v>7</v>
      </c>
      <c r="E508">
        <v>0.59899999999999998</v>
      </c>
      <c r="F508">
        <v>2312</v>
      </c>
      <c r="G508">
        <v>518</v>
      </c>
      <c r="H508">
        <v>0.9</v>
      </c>
    </row>
    <row r="509" spans="1:8" x14ac:dyDescent="0.25">
      <c r="A509" t="s">
        <v>23</v>
      </c>
      <c r="B509">
        <v>354</v>
      </c>
      <c r="C509">
        <v>50</v>
      </c>
      <c r="D509">
        <v>8</v>
      </c>
      <c r="E509">
        <v>0.41299999999999998</v>
      </c>
      <c r="F509">
        <v>1503</v>
      </c>
      <c r="G509">
        <v>579</v>
      </c>
      <c r="H509">
        <v>0.9</v>
      </c>
    </row>
    <row r="510" spans="1:8" x14ac:dyDescent="0.25">
      <c r="A510" t="s">
        <v>23</v>
      </c>
      <c r="B510">
        <v>354</v>
      </c>
      <c r="C510">
        <v>50</v>
      </c>
      <c r="D510">
        <v>9</v>
      </c>
      <c r="E510">
        <v>0.72099999999999997</v>
      </c>
      <c r="F510">
        <v>2256</v>
      </c>
      <c r="G510">
        <v>566</v>
      </c>
      <c r="H510">
        <v>0.9</v>
      </c>
    </row>
    <row r="511" spans="1:8" x14ac:dyDescent="0.25">
      <c r="A511" t="s">
        <v>23</v>
      </c>
      <c r="B511">
        <v>354</v>
      </c>
      <c r="C511">
        <v>50</v>
      </c>
      <c r="D511">
        <v>10</v>
      </c>
      <c r="E511">
        <v>0.34200000000000003</v>
      </c>
      <c r="F511">
        <v>1454</v>
      </c>
      <c r="G511">
        <v>556</v>
      </c>
      <c r="H511">
        <v>0.9</v>
      </c>
    </row>
    <row r="512" spans="1:8" x14ac:dyDescent="0.25">
      <c r="A512" t="s">
        <v>23</v>
      </c>
      <c r="B512">
        <v>2500</v>
      </c>
      <c r="C512">
        <v>50</v>
      </c>
      <c r="D512">
        <v>1</v>
      </c>
      <c r="E512">
        <v>0.84</v>
      </c>
      <c r="F512">
        <v>3401</v>
      </c>
      <c r="G512">
        <v>2900</v>
      </c>
      <c r="H512">
        <v>0.1</v>
      </c>
    </row>
    <row r="513" spans="1:8" x14ac:dyDescent="0.25">
      <c r="A513" t="s">
        <v>23</v>
      </c>
      <c r="B513">
        <v>2500</v>
      </c>
      <c r="C513">
        <v>50</v>
      </c>
      <c r="D513">
        <v>2</v>
      </c>
      <c r="E513">
        <v>1.115</v>
      </c>
      <c r="F513">
        <v>4640</v>
      </c>
      <c r="G513">
        <v>2833</v>
      </c>
      <c r="H513">
        <v>0.1</v>
      </c>
    </row>
    <row r="514" spans="1:8" x14ac:dyDescent="0.25">
      <c r="A514" t="s">
        <v>23</v>
      </c>
      <c r="B514">
        <v>2500</v>
      </c>
      <c r="C514">
        <v>50</v>
      </c>
      <c r="D514">
        <v>3</v>
      </c>
      <c r="E514">
        <v>0.36</v>
      </c>
      <c r="F514">
        <v>1428</v>
      </c>
      <c r="G514">
        <v>3066</v>
      </c>
      <c r="H514">
        <v>0.1</v>
      </c>
    </row>
    <row r="515" spans="1:8" x14ac:dyDescent="0.25">
      <c r="A515" t="s">
        <v>23</v>
      </c>
      <c r="B515">
        <v>2500</v>
      </c>
      <c r="C515">
        <v>50</v>
      </c>
      <c r="D515">
        <v>4</v>
      </c>
      <c r="E515">
        <v>1.1950000000000001</v>
      </c>
      <c r="F515">
        <v>4875</v>
      </c>
      <c r="G515">
        <v>2771</v>
      </c>
      <c r="H515">
        <v>0.1</v>
      </c>
    </row>
    <row r="516" spans="1:8" x14ac:dyDescent="0.25">
      <c r="A516" t="s">
        <v>23</v>
      </c>
      <c r="B516">
        <v>2500</v>
      </c>
      <c r="C516">
        <v>50</v>
      </c>
      <c r="D516">
        <v>5</v>
      </c>
      <c r="E516">
        <v>0.72299999999999998</v>
      </c>
      <c r="F516">
        <v>2837</v>
      </c>
      <c r="G516">
        <v>2816</v>
      </c>
      <c r="H516">
        <v>0.1</v>
      </c>
    </row>
    <row r="517" spans="1:8" x14ac:dyDescent="0.25">
      <c r="A517" t="s">
        <v>23</v>
      </c>
      <c r="B517">
        <v>2500</v>
      </c>
      <c r="C517">
        <v>50</v>
      </c>
      <c r="D517">
        <v>6</v>
      </c>
      <c r="E517">
        <v>0.97499999999999998</v>
      </c>
      <c r="F517">
        <v>4114</v>
      </c>
      <c r="G517">
        <v>2817</v>
      </c>
      <c r="H517">
        <v>0.1</v>
      </c>
    </row>
    <row r="518" spans="1:8" x14ac:dyDescent="0.25">
      <c r="A518" t="s">
        <v>23</v>
      </c>
      <c r="B518">
        <v>2500</v>
      </c>
      <c r="C518">
        <v>50</v>
      </c>
      <c r="D518">
        <v>7</v>
      </c>
      <c r="E518">
        <v>1.363</v>
      </c>
      <c r="F518">
        <v>4696</v>
      </c>
      <c r="G518">
        <v>2719</v>
      </c>
      <c r="H518">
        <v>0.1</v>
      </c>
    </row>
    <row r="519" spans="1:8" x14ac:dyDescent="0.25">
      <c r="A519" t="s">
        <v>23</v>
      </c>
      <c r="B519">
        <v>2500</v>
      </c>
      <c r="C519">
        <v>50</v>
      </c>
      <c r="D519">
        <v>8</v>
      </c>
      <c r="E519">
        <v>0.57099999999999995</v>
      </c>
      <c r="F519">
        <v>2278</v>
      </c>
      <c r="G519">
        <v>2813</v>
      </c>
      <c r="H519">
        <v>0.1</v>
      </c>
    </row>
    <row r="520" spans="1:8" x14ac:dyDescent="0.25">
      <c r="A520" t="s">
        <v>23</v>
      </c>
      <c r="B520">
        <v>2500</v>
      </c>
      <c r="C520">
        <v>50</v>
      </c>
      <c r="D520">
        <v>9</v>
      </c>
      <c r="E520">
        <v>0.57099999999999995</v>
      </c>
      <c r="F520">
        <v>2301</v>
      </c>
      <c r="G520">
        <v>2794</v>
      </c>
      <c r="H520">
        <v>0.1</v>
      </c>
    </row>
    <row r="521" spans="1:8" x14ac:dyDescent="0.25">
      <c r="A521" t="s">
        <v>23</v>
      </c>
      <c r="B521">
        <v>2500</v>
      </c>
      <c r="C521">
        <v>50</v>
      </c>
      <c r="D521">
        <v>10</v>
      </c>
      <c r="E521">
        <v>1.3720000000000001</v>
      </c>
      <c r="F521">
        <v>5495</v>
      </c>
      <c r="G521">
        <v>2765</v>
      </c>
      <c r="H521">
        <v>0.1</v>
      </c>
    </row>
    <row r="522" spans="1:8" x14ac:dyDescent="0.25">
      <c r="A522" t="s">
        <v>23</v>
      </c>
      <c r="B522">
        <v>2500</v>
      </c>
      <c r="C522">
        <v>50</v>
      </c>
      <c r="D522">
        <v>1</v>
      </c>
      <c r="E522">
        <v>0.76300000000000001</v>
      </c>
      <c r="F522">
        <v>2520</v>
      </c>
      <c r="G522">
        <v>2890</v>
      </c>
      <c r="H522">
        <v>0.2</v>
      </c>
    </row>
    <row r="523" spans="1:8" x14ac:dyDescent="0.25">
      <c r="A523" t="s">
        <v>23</v>
      </c>
      <c r="B523">
        <v>2500</v>
      </c>
      <c r="C523">
        <v>50</v>
      </c>
      <c r="D523">
        <v>2</v>
      </c>
      <c r="E523">
        <v>1.014</v>
      </c>
      <c r="F523">
        <v>3354</v>
      </c>
      <c r="G523">
        <v>2876</v>
      </c>
      <c r="H523">
        <v>0.2</v>
      </c>
    </row>
    <row r="524" spans="1:8" x14ac:dyDescent="0.25">
      <c r="A524" t="s">
        <v>23</v>
      </c>
      <c r="B524">
        <v>2500</v>
      </c>
      <c r="C524">
        <v>50</v>
      </c>
      <c r="D524">
        <v>3</v>
      </c>
      <c r="E524">
        <v>0.59799999999999998</v>
      </c>
      <c r="F524">
        <v>2031</v>
      </c>
      <c r="G524">
        <v>3011</v>
      </c>
      <c r="H524">
        <v>0.2</v>
      </c>
    </row>
    <row r="525" spans="1:8" x14ac:dyDescent="0.25">
      <c r="A525" t="s">
        <v>23</v>
      </c>
      <c r="B525">
        <v>2500</v>
      </c>
      <c r="C525">
        <v>50</v>
      </c>
      <c r="D525">
        <v>4</v>
      </c>
      <c r="E525">
        <v>1.1279999999999999</v>
      </c>
      <c r="F525">
        <v>3984</v>
      </c>
      <c r="G525">
        <v>2898</v>
      </c>
      <c r="H525">
        <v>0.2</v>
      </c>
    </row>
    <row r="526" spans="1:8" x14ac:dyDescent="0.25">
      <c r="A526" t="s">
        <v>23</v>
      </c>
      <c r="B526">
        <v>2500</v>
      </c>
      <c r="C526">
        <v>50</v>
      </c>
      <c r="D526">
        <v>5</v>
      </c>
      <c r="E526">
        <v>0.627</v>
      </c>
      <c r="F526">
        <v>2315</v>
      </c>
      <c r="G526">
        <v>2992</v>
      </c>
      <c r="H526">
        <v>0.2</v>
      </c>
    </row>
    <row r="527" spans="1:8" x14ac:dyDescent="0.25">
      <c r="A527" t="s">
        <v>23</v>
      </c>
      <c r="B527">
        <v>2500</v>
      </c>
      <c r="C527">
        <v>50</v>
      </c>
      <c r="D527">
        <v>6</v>
      </c>
      <c r="E527">
        <v>0.88</v>
      </c>
      <c r="F527">
        <v>3425</v>
      </c>
      <c r="G527">
        <v>2866</v>
      </c>
      <c r="H527">
        <v>0.2</v>
      </c>
    </row>
    <row r="528" spans="1:8" x14ac:dyDescent="0.25">
      <c r="A528" t="s">
        <v>23</v>
      </c>
      <c r="B528">
        <v>2500</v>
      </c>
      <c r="C528">
        <v>50</v>
      </c>
      <c r="D528">
        <v>7</v>
      </c>
      <c r="E528">
        <v>0.66500000000000004</v>
      </c>
      <c r="F528">
        <v>2650</v>
      </c>
      <c r="G528">
        <v>2997</v>
      </c>
      <c r="H528">
        <v>0.2</v>
      </c>
    </row>
    <row r="529" spans="1:8" x14ac:dyDescent="0.25">
      <c r="A529" t="s">
        <v>23</v>
      </c>
      <c r="B529">
        <v>2500</v>
      </c>
      <c r="C529">
        <v>50</v>
      </c>
      <c r="D529">
        <v>8</v>
      </c>
      <c r="E529">
        <v>0.88700000000000001</v>
      </c>
      <c r="F529">
        <v>3698</v>
      </c>
      <c r="G529">
        <v>2870</v>
      </c>
      <c r="H529">
        <v>0.2</v>
      </c>
    </row>
    <row r="530" spans="1:8" x14ac:dyDescent="0.25">
      <c r="A530" t="s">
        <v>23</v>
      </c>
      <c r="B530">
        <v>2500</v>
      </c>
      <c r="C530">
        <v>50</v>
      </c>
      <c r="D530">
        <v>9</v>
      </c>
      <c r="E530">
        <v>0.999</v>
      </c>
      <c r="F530">
        <v>4128</v>
      </c>
      <c r="G530">
        <v>2875</v>
      </c>
      <c r="H530">
        <v>0.2</v>
      </c>
    </row>
    <row r="531" spans="1:8" x14ac:dyDescent="0.25">
      <c r="A531" t="s">
        <v>23</v>
      </c>
      <c r="B531">
        <v>2500</v>
      </c>
      <c r="C531">
        <v>50</v>
      </c>
      <c r="D531">
        <v>10</v>
      </c>
      <c r="E531">
        <v>0.73299999999999998</v>
      </c>
      <c r="F531">
        <v>3000</v>
      </c>
      <c r="G531">
        <v>2823</v>
      </c>
      <c r="H531">
        <v>0.2</v>
      </c>
    </row>
    <row r="532" spans="1:8" x14ac:dyDescent="0.25">
      <c r="A532" t="s">
        <v>23</v>
      </c>
      <c r="B532">
        <v>2500</v>
      </c>
      <c r="C532">
        <v>50</v>
      </c>
      <c r="D532">
        <v>1</v>
      </c>
      <c r="E532">
        <v>0.73199999999999998</v>
      </c>
      <c r="F532">
        <v>2933</v>
      </c>
      <c r="G532">
        <v>3006</v>
      </c>
      <c r="H532">
        <v>0.3</v>
      </c>
    </row>
    <row r="533" spans="1:8" x14ac:dyDescent="0.25">
      <c r="A533" t="s">
        <v>23</v>
      </c>
      <c r="B533">
        <v>2500</v>
      </c>
      <c r="C533">
        <v>50</v>
      </c>
      <c r="D533">
        <v>2</v>
      </c>
      <c r="E533">
        <v>0.57699999999999996</v>
      </c>
      <c r="F533">
        <v>2239</v>
      </c>
      <c r="G533">
        <v>3054</v>
      </c>
      <c r="H533">
        <v>0.3</v>
      </c>
    </row>
    <row r="534" spans="1:8" x14ac:dyDescent="0.25">
      <c r="A534" t="s">
        <v>23</v>
      </c>
      <c r="B534">
        <v>2500</v>
      </c>
      <c r="C534">
        <v>50</v>
      </c>
      <c r="D534">
        <v>3</v>
      </c>
      <c r="E534">
        <v>0.61499999999999999</v>
      </c>
      <c r="F534">
        <v>2077</v>
      </c>
      <c r="G534">
        <v>2971</v>
      </c>
      <c r="H534">
        <v>0.3</v>
      </c>
    </row>
    <row r="535" spans="1:8" x14ac:dyDescent="0.25">
      <c r="A535" t="s">
        <v>23</v>
      </c>
      <c r="B535">
        <v>2500</v>
      </c>
      <c r="C535">
        <v>50</v>
      </c>
      <c r="D535">
        <v>4</v>
      </c>
      <c r="E535">
        <v>0.38600000000000001</v>
      </c>
      <c r="F535">
        <v>1543</v>
      </c>
      <c r="G535">
        <v>3060</v>
      </c>
      <c r="H535">
        <v>0.3</v>
      </c>
    </row>
    <row r="536" spans="1:8" x14ac:dyDescent="0.25">
      <c r="A536" t="s">
        <v>23</v>
      </c>
      <c r="B536">
        <v>2500</v>
      </c>
      <c r="C536">
        <v>50</v>
      </c>
      <c r="D536">
        <v>5</v>
      </c>
      <c r="E536">
        <v>0.43</v>
      </c>
      <c r="F536">
        <v>1700</v>
      </c>
      <c r="G536">
        <v>3079</v>
      </c>
      <c r="H536">
        <v>0.3</v>
      </c>
    </row>
    <row r="537" spans="1:8" x14ac:dyDescent="0.25">
      <c r="A537" t="s">
        <v>23</v>
      </c>
      <c r="B537">
        <v>2500</v>
      </c>
      <c r="C537">
        <v>50</v>
      </c>
      <c r="D537">
        <v>6</v>
      </c>
      <c r="E537">
        <v>0.874</v>
      </c>
      <c r="F537">
        <v>3524</v>
      </c>
      <c r="G537">
        <v>2869</v>
      </c>
      <c r="H537">
        <v>0.3</v>
      </c>
    </row>
    <row r="538" spans="1:8" x14ac:dyDescent="0.25">
      <c r="A538" t="s">
        <v>23</v>
      </c>
      <c r="B538">
        <v>2500</v>
      </c>
      <c r="C538">
        <v>50</v>
      </c>
      <c r="D538">
        <v>7</v>
      </c>
      <c r="E538">
        <v>0.64100000000000001</v>
      </c>
      <c r="F538">
        <v>2534</v>
      </c>
      <c r="G538">
        <v>2945</v>
      </c>
      <c r="H538">
        <v>0.3</v>
      </c>
    </row>
    <row r="539" spans="1:8" x14ac:dyDescent="0.25">
      <c r="A539" t="s">
        <v>23</v>
      </c>
      <c r="B539">
        <v>2500</v>
      </c>
      <c r="C539">
        <v>50</v>
      </c>
      <c r="D539">
        <v>8</v>
      </c>
      <c r="E539">
        <v>0.35799999999999998</v>
      </c>
      <c r="F539">
        <v>1357</v>
      </c>
      <c r="G539">
        <v>3142</v>
      </c>
      <c r="H539">
        <v>0.3</v>
      </c>
    </row>
    <row r="540" spans="1:8" x14ac:dyDescent="0.25">
      <c r="A540" t="s">
        <v>23</v>
      </c>
      <c r="B540">
        <v>2500</v>
      </c>
      <c r="C540">
        <v>50</v>
      </c>
      <c r="D540">
        <v>9</v>
      </c>
      <c r="E540">
        <v>0.63</v>
      </c>
      <c r="F540">
        <v>2485</v>
      </c>
      <c r="G540">
        <v>3020</v>
      </c>
      <c r="H540">
        <v>0.3</v>
      </c>
    </row>
    <row r="541" spans="1:8" x14ac:dyDescent="0.25">
      <c r="A541" t="s">
        <v>23</v>
      </c>
      <c r="B541">
        <v>2500</v>
      </c>
      <c r="C541">
        <v>50</v>
      </c>
      <c r="D541">
        <v>10</v>
      </c>
      <c r="E541">
        <v>0.74199999999999999</v>
      </c>
      <c r="F541">
        <v>3054</v>
      </c>
      <c r="G541">
        <v>2919</v>
      </c>
      <c r="H541">
        <v>0.3</v>
      </c>
    </row>
    <row r="542" spans="1:8" x14ac:dyDescent="0.25">
      <c r="A542" t="s">
        <v>23</v>
      </c>
      <c r="B542">
        <v>2500</v>
      </c>
      <c r="C542">
        <v>50</v>
      </c>
      <c r="D542">
        <v>1</v>
      </c>
      <c r="E542">
        <v>0.57699999999999996</v>
      </c>
      <c r="F542">
        <v>2111</v>
      </c>
      <c r="G542">
        <v>2955</v>
      </c>
      <c r="H542">
        <v>0.4</v>
      </c>
    </row>
    <row r="543" spans="1:8" x14ac:dyDescent="0.25">
      <c r="A543" t="s">
        <v>23</v>
      </c>
      <c r="B543">
        <v>2500</v>
      </c>
      <c r="C543">
        <v>50</v>
      </c>
      <c r="D543">
        <v>2</v>
      </c>
      <c r="E543">
        <v>0.376</v>
      </c>
      <c r="F543">
        <v>1285</v>
      </c>
      <c r="G543">
        <v>3170</v>
      </c>
      <c r="H543">
        <v>0.4</v>
      </c>
    </row>
    <row r="544" spans="1:8" x14ac:dyDescent="0.25">
      <c r="A544" t="s">
        <v>23</v>
      </c>
      <c r="B544">
        <v>2500</v>
      </c>
      <c r="C544">
        <v>50</v>
      </c>
      <c r="D544">
        <v>3</v>
      </c>
      <c r="E544">
        <v>0.41299999999999998</v>
      </c>
      <c r="F544">
        <v>1459</v>
      </c>
      <c r="G544">
        <v>3143</v>
      </c>
      <c r="H544">
        <v>0.4</v>
      </c>
    </row>
    <row r="545" spans="1:8" x14ac:dyDescent="0.25">
      <c r="A545" t="s">
        <v>23</v>
      </c>
      <c r="B545">
        <v>2500</v>
      </c>
      <c r="C545">
        <v>50</v>
      </c>
      <c r="D545">
        <v>4</v>
      </c>
      <c r="E545">
        <v>0.70199999999999996</v>
      </c>
      <c r="F545">
        <v>2780</v>
      </c>
      <c r="G545">
        <v>2956</v>
      </c>
      <c r="H545">
        <v>0.4</v>
      </c>
    </row>
    <row r="546" spans="1:8" x14ac:dyDescent="0.25">
      <c r="A546" t="s">
        <v>23</v>
      </c>
      <c r="B546">
        <v>2500</v>
      </c>
      <c r="C546">
        <v>50</v>
      </c>
      <c r="D546">
        <v>5</v>
      </c>
      <c r="E546">
        <v>0.74099999999999999</v>
      </c>
      <c r="F546">
        <v>2961</v>
      </c>
      <c r="G546">
        <v>3065</v>
      </c>
      <c r="H546">
        <v>0.4</v>
      </c>
    </row>
    <row r="547" spans="1:8" x14ac:dyDescent="0.25">
      <c r="A547" t="s">
        <v>23</v>
      </c>
      <c r="B547">
        <v>2500</v>
      </c>
      <c r="C547">
        <v>50</v>
      </c>
      <c r="D547">
        <v>6</v>
      </c>
      <c r="E547">
        <v>0.61299999999999999</v>
      </c>
      <c r="F547">
        <v>2463</v>
      </c>
      <c r="G547">
        <v>2938</v>
      </c>
      <c r="H547">
        <v>0.4</v>
      </c>
    </row>
    <row r="548" spans="1:8" x14ac:dyDescent="0.25">
      <c r="A548" t="s">
        <v>23</v>
      </c>
      <c r="B548">
        <v>2500</v>
      </c>
      <c r="C548">
        <v>50</v>
      </c>
      <c r="D548">
        <v>7</v>
      </c>
      <c r="E548">
        <v>0.752</v>
      </c>
      <c r="F548">
        <v>2467</v>
      </c>
      <c r="G548">
        <v>3027</v>
      </c>
      <c r="H548">
        <v>0.4</v>
      </c>
    </row>
    <row r="549" spans="1:8" x14ac:dyDescent="0.25">
      <c r="A549" t="s">
        <v>23</v>
      </c>
      <c r="B549">
        <v>2500</v>
      </c>
      <c r="C549">
        <v>50</v>
      </c>
      <c r="D549">
        <v>8</v>
      </c>
      <c r="E549">
        <v>0.79100000000000004</v>
      </c>
      <c r="F549">
        <v>2838</v>
      </c>
      <c r="G549">
        <v>2861</v>
      </c>
      <c r="H549">
        <v>0.4</v>
      </c>
    </row>
    <row r="550" spans="1:8" x14ac:dyDescent="0.25">
      <c r="A550" t="s">
        <v>23</v>
      </c>
      <c r="B550">
        <v>2500</v>
      </c>
      <c r="C550">
        <v>50</v>
      </c>
      <c r="D550">
        <v>9</v>
      </c>
      <c r="E550">
        <v>1.1639999999999999</v>
      </c>
      <c r="F550">
        <v>3857</v>
      </c>
      <c r="G550">
        <v>2872</v>
      </c>
      <c r="H550">
        <v>0.4</v>
      </c>
    </row>
    <row r="551" spans="1:8" x14ac:dyDescent="0.25">
      <c r="A551" t="s">
        <v>23</v>
      </c>
      <c r="B551">
        <v>2500</v>
      </c>
      <c r="C551">
        <v>50</v>
      </c>
      <c r="D551">
        <v>10</v>
      </c>
      <c r="E551">
        <v>0.73399999999999999</v>
      </c>
      <c r="F551">
        <v>2795</v>
      </c>
      <c r="G551">
        <v>2873</v>
      </c>
      <c r="H551">
        <v>0.4</v>
      </c>
    </row>
    <row r="552" spans="1:8" x14ac:dyDescent="0.25">
      <c r="A552" t="s">
        <v>23</v>
      </c>
      <c r="B552">
        <v>2500</v>
      </c>
      <c r="C552">
        <v>50</v>
      </c>
      <c r="D552">
        <v>1</v>
      </c>
      <c r="E552">
        <v>0.83</v>
      </c>
      <c r="F552">
        <v>2788</v>
      </c>
      <c r="G552">
        <v>3040</v>
      </c>
      <c r="H552">
        <v>0.5</v>
      </c>
    </row>
    <row r="553" spans="1:8" x14ac:dyDescent="0.25">
      <c r="A553" t="s">
        <v>23</v>
      </c>
      <c r="B553">
        <v>2500</v>
      </c>
      <c r="C553">
        <v>50</v>
      </c>
      <c r="D553">
        <v>2</v>
      </c>
      <c r="E553">
        <v>1.0489999999999999</v>
      </c>
      <c r="F553">
        <v>3580</v>
      </c>
      <c r="G553">
        <v>2969</v>
      </c>
      <c r="H553">
        <v>0.5</v>
      </c>
    </row>
    <row r="554" spans="1:8" x14ac:dyDescent="0.25">
      <c r="A554" t="s">
        <v>23</v>
      </c>
      <c r="B554">
        <v>2500</v>
      </c>
      <c r="C554">
        <v>50</v>
      </c>
      <c r="D554">
        <v>3</v>
      </c>
      <c r="E554">
        <v>0.54200000000000004</v>
      </c>
      <c r="F554">
        <v>2039</v>
      </c>
      <c r="G554">
        <v>3036</v>
      </c>
      <c r="H554">
        <v>0.5</v>
      </c>
    </row>
    <row r="555" spans="1:8" x14ac:dyDescent="0.25">
      <c r="A555" t="s">
        <v>23</v>
      </c>
      <c r="B555">
        <v>2500</v>
      </c>
      <c r="C555">
        <v>50</v>
      </c>
      <c r="D555">
        <v>4</v>
      </c>
      <c r="E555">
        <v>0.56100000000000005</v>
      </c>
      <c r="F555">
        <v>1613</v>
      </c>
      <c r="G555">
        <v>3175</v>
      </c>
      <c r="H555">
        <v>0.5</v>
      </c>
    </row>
    <row r="556" spans="1:8" x14ac:dyDescent="0.25">
      <c r="A556" t="s">
        <v>23</v>
      </c>
      <c r="B556">
        <v>2500</v>
      </c>
      <c r="C556">
        <v>50</v>
      </c>
      <c r="D556">
        <v>5</v>
      </c>
      <c r="E556">
        <v>0.83499999999999996</v>
      </c>
      <c r="F556">
        <v>3340</v>
      </c>
      <c r="G556">
        <v>2901</v>
      </c>
      <c r="H556">
        <v>0.5</v>
      </c>
    </row>
    <row r="557" spans="1:8" x14ac:dyDescent="0.25">
      <c r="A557" t="s">
        <v>23</v>
      </c>
      <c r="B557">
        <v>2500</v>
      </c>
      <c r="C557">
        <v>50</v>
      </c>
      <c r="D557">
        <v>6</v>
      </c>
      <c r="E557">
        <v>0.44800000000000001</v>
      </c>
      <c r="F557">
        <v>1739</v>
      </c>
      <c r="G557">
        <v>3121</v>
      </c>
      <c r="H557">
        <v>0.5</v>
      </c>
    </row>
    <row r="558" spans="1:8" x14ac:dyDescent="0.25">
      <c r="A558" t="s">
        <v>23</v>
      </c>
      <c r="B558">
        <v>2500</v>
      </c>
      <c r="C558">
        <v>50</v>
      </c>
      <c r="D558">
        <v>7</v>
      </c>
      <c r="E558">
        <v>0.502</v>
      </c>
      <c r="F558">
        <v>2000</v>
      </c>
      <c r="G558">
        <v>2913</v>
      </c>
      <c r="H558">
        <v>0.5</v>
      </c>
    </row>
    <row r="559" spans="1:8" x14ac:dyDescent="0.25">
      <c r="A559" t="s">
        <v>23</v>
      </c>
      <c r="B559">
        <v>2500</v>
      </c>
      <c r="C559">
        <v>50</v>
      </c>
      <c r="D559">
        <v>8</v>
      </c>
      <c r="E559">
        <v>0.68100000000000005</v>
      </c>
      <c r="F559">
        <v>2669</v>
      </c>
      <c r="G559">
        <v>2937</v>
      </c>
      <c r="H559">
        <v>0.5</v>
      </c>
    </row>
    <row r="560" spans="1:8" x14ac:dyDescent="0.25">
      <c r="A560" t="s">
        <v>23</v>
      </c>
      <c r="B560">
        <v>2500</v>
      </c>
      <c r="C560">
        <v>50</v>
      </c>
      <c r="D560">
        <v>9</v>
      </c>
      <c r="E560">
        <v>0.98399999999999999</v>
      </c>
      <c r="F560">
        <v>3850</v>
      </c>
      <c r="G560">
        <v>2992</v>
      </c>
      <c r="H560">
        <v>0.5</v>
      </c>
    </row>
    <row r="561" spans="1:8" x14ac:dyDescent="0.25">
      <c r="A561" t="s">
        <v>23</v>
      </c>
      <c r="B561">
        <v>2500</v>
      </c>
      <c r="C561">
        <v>50</v>
      </c>
      <c r="D561">
        <v>10</v>
      </c>
      <c r="E561">
        <v>0.70599999999999996</v>
      </c>
      <c r="F561">
        <v>2840</v>
      </c>
      <c r="G561">
        <v>2949</v>
      </c>
      <c r="H561">
        <v>0.5</v>
      </c>
    </row>
    <row r="562" spans="1:8" x14ac:dyDescent="0.25">
      <c r="A562" t="s">
        <v>23</v>
      </c>
      <c r="B562">
        <v>2500</v>
      </c>
      <c r="C562">
        <v>50</v>
      </c>
      <c r="D562">
        <v>1</v>
      </c>
      <c r="E562">
        <v>0.51400000000000001</v>
      </c>
      <c r="F562">
        <v>1978</v>
      </c>
      <c r="G562">
        <v>3233</v>
      </c>
      <c r="H562">
        <v>0.6</v>
      </c>
    </row>
    <row r="563" spans="1:8" x14ac:dyDescent="0.25">
      <c r="A563" t="s">
        <v>23</v>
      </c>
      <c r="B563">
        <v>2500</v>
      </c>
      <c r="C563">
        <v>50</v>
      </c>
      <c r="D563">
        <v>2</v>
      </c>
      <c r="E563">
        <v>0.432</v>
      </c>
      <c r="F563">
        <v>1242</v>
      </c>
      <c r="G563">
        <v>3307</v>
      </c>
      <c r="H563">
        <v>0.6</v>
      </c>
    </row>
    <row r="564" spans="1:8" x14ac:dyDescent="0.25">
      <c r="A564" t="s">
        <v>23</v>
      </c>
      <c r="B564">
        <v>2500</v>
      </c>
      <c r="C564">
        <v>50</v>
      </c>
      <c r="D564">
        <v>3</v>
      </c>
      <c r="E564">
        <v>0.38200000000000001</v>
      </c>
      <c r="F564">
        <v>1138</v>
      </c>
      <c r="G564">
        <v>3021</v>
      </c>
      <c r="H564">
        <v>0.6</v>
      </c>
    </row>
    <row r="565" spans="1:8" x14ac:dyDescent="0.25">
      <c r="A565" t="s">
        <v>23</v>
      </c>
      <c r="B565">
        <v>2500</v>
      </c>
      <c r="C565">
        <v>50</v>
      </c>
      <c r="D565">
        <v>4</v>
      </c>
      <c r="E565">
        <v>0.85799999999999998</v>
      </c>
      <c r="F565">
        <v>2522</v>
      </c>
      <c r="G565">
        <v>3044</v>
      </c>
      <c r="H565">
        <v>0.6</v>
      </c>
    </row>
    <row r="566" spans="1:8" x14ac:dyDescent="0.25">
      <c r="A566" t="s">
        <v>23</v>
      </c>
      <c r="B566">
        <v>2500</v>
      </c>
      <c r="C566">
        <v>50</v>
      </c>
      <c r="D566">
        <v>5</v>
      </c>
      <c r="E566">
        <v>0.316</v>
      </c>
      <c r="F566">
        <v>1251</v>
      </c>
      <c r="G566">
        <v>3323</v>
      </c>
      <c r="H566">
        <v>0.6</v>
      </c>
    </row>
    <row r="567" spans="1:8" x14ac:dyDescent="0.25">
      <c r="A567" t="s">
        <v>23</v>
      </c>
      <c r="B567">
        <v>2500</v>
      </c>
      <c r="C567">
        <v>50</v>
      </c>
      <c r="D567">
        <v>6</v>
      </c>
      <c r="E567">
        <v>0.65400000000000003</v>
      </c>
      <c r="F567">
        <v>2631</v>
      </c>
      <c r="G567">
        <v>3069</v>
      </c>
      <c r="H567">
        <v>0.6</v>
      </c>
    </row>
    <row r="568" spans="1:8" x14ac:dyDescent="0.25">
      <c r="A568" t="s">
        <v>23</v>
      </c>
      <c r="B568">
        <v>2500</v>
      </c>
      <c r="C568">
        <v>50</v>
      </c>
      <c r="D568">
        <v>7</v>
      </c>
      <c r="E568">
        <v>0.47599999999999998</v>
      </c>
      <c r="F568">
        <v>1891</v>
      </c>
      <c r="G568">
        <v>2945</v>
      </c>
      <c r="H568">
        <v>0.6</v>
      </c>
    </row>
    <row r="569" spans="1:8" x14ac:dyDescent="0.25">
      <c r="A569" t="s">
        <v>23</v>
      </c>
      <c r="B569">
        <v>2500</v>
      </c>
      <c r="C569">
        <v>50</v>
      </c>
      <c r="D569">
        <v>8</v>
      </c>
      <c r="E569">
        <v>0.51800000000000002</v>
      </c>
      <c r="F569">
        <v>2028</v>
      </c>
      <c r="G569">
        <v>3079</v>
      </c>
      <c r="H569">
        <v>0.6</v>
      </c>
    </row>
    <row r="570" spans="1:8" x14ac:dyDescent="0.25">
      <c r="A570" t="s">
        <v>23</v>
      </c>
      <c r="B570">
        <v>2500</v>
      </c>
      <c r="C570">
        <v>50</v>
      </c>
      <c r="D570">
        <v>9</v>
      </c>
      <c r="E570">
        <v>1.0840000000000001</v>
      </c>
      <c r="F570">
        <v>3585</v>
      </c>
      <c r="G570">
        <v>2993</v>
      </c>
      <c r="H570">
        <v>0.6</v>
      </c>
    </row>
    <row r="571" spans="1:8" x14ac:dyDescent="0.25">
      <c r="A571" t="s">
        <v>23</v>
      </c>
      <c r="B571">
        <v>2500</v>
      </c>
      <c r="C571">
        <v>50</v>
      </c>
      <c r="D571">
        <v>10</v>
      </c>
      <c r="E571">
        <v>0.59299999999999997</v>
      </c>
      <c r="F571">
        <v>2081</v>
      </c>
      <c r="G571">
        <v>3035</v>
      </c>
      <c r="H571">
        <v>0.6</v>
      </c>
    </row>
    <row r="572" spans="1:8" x14ac:dyDescent="0.25">
      <c r="A572" t="s">
        <v>23</v>
      </c>
      <c r="B572">
        <v>2500</v>
      </c>
      <c r="C572">
        <v>50</v>
      </c>
      <c r="D572">
        <v>1</v>
      </c>
      <c r="E572">
        <v>0.46600000000000003</v>
      </c>
      <c r="F572">
        <v>1411</v>
      </c>
      <c r="G572">
        <v>2995</v>
      </c>
      <c r="H572">
        <v>0.7</v>
      </c>
    </row>
    <row r="573" spans="1:8" x14ac:dyDescent="0.25">
      <c r="A573" t="s">
        <v>23</v>
      </c>
      <c r="B573">
        <v>2500</v>
      </c>
      <c r="C573">
        <v>50</v>
      </c>
      <c r="D573">
        <v>2</v>
      </c>
      <c r="E573">
        <v>0.76</v>
      </c>
      <c r="F573">
        <v>2796</v>
      </c>
      <c r="G573">
        <v>3224</v>
      </c>
      <c r="H573">
        <v>0.7</v>
      </c>
    </row>
    <row r="574" spans="1:8" x14ac:dyDescent="0.25">
      <c r="A574" t="s">
        <v>23</v>
      </c>
      <c r="B574">
        <v>2500</v>
      </c>
      <c r="C574">
        <v>50</v>
      </c>
      <c r="D574">
        <v>3</v>
      </c>
      <c r="E574">
        <v>0.749</v>
      </c>
      <c r="F574">
        <v>2970</v>
      </c>
      <c r="G574">
        <v>3038</v>
      </c>
      <c r="H574">
        <v>0.7</v>
      </c>
    </row>
    <row r="575" spans="1:8" x14ac:dyDescent="0.25">
      <c r="A575" t="s">
        <v>23</v>
      </c>
      <c r="B575">
        <v>2500</v>
      </c>
      <c r="C575">
        <v>50</v>
      </c>
      <c r="D575">
        <v>4</v>
      </c>
      <c r="E575">
        <v>0.59399999999999997</v>
      </c>
      <c r="F575">
        <v>1892</v>
      </c>
      <c r="G575">
        <v>3056</v>
      </c>
      <c r="H575">
        <v>0.7</v>
      </c>
    </row>
    <row r="576" spans="1:8" x14ac:dyDescent="0.25">
      <c r="A576" t="s">
        <v>23</v>
      </c>
      <c r="B576">
        <v>2500</v>
      </c>
      <c r="C576">
        <v>50</v>
      </c>
      <c r="D576">
        <v>5</v>
      </c>
      <c r="E576">
        <v>0.371</v>
      </c>
      <c r="F576">
        <v>1455</v>
      </c>
      <c r="G576">
        <v>3350</v>
      </c>
      <c r="H576">
        <v>0.7</v>
      </c>
    </row>
    <row r="577" spans="1:8" x14ac:dyDescent="0.25">
      <c r="A577" t="s">
        <v>23</v>
      </c>
      <c r="B577">
        <v>2500</v>
      </c>
      <c r="C577">
        <v>50</v>
      </c>
      <c r="D577">
        <v>6</v>
      </c>
      <c r="E577">
        <v>0.54900000000000004</v>
      </c>
      <c r="F577">
        <v>2157</v>
      </c>
      <c r="G577">
        <v>3111</v>
      </c>
      <c r="H577">
        <v>0.7</v>
      </c>
    </row>
    <row r="578" spans="1:8" x14ac:dyDescent="0.25">
      <c r="A578" t="s">
        <v>23</v>
      </c>
      <c r="B578">
        <v>2500</v>
      </c>
      <c r="C578">
        <v>50</v>
      </c>
      <c r="D578">
        <v>7</v>
      </c>
      <c r="E578">
        <v>0.73799999999999999</v>
      </c>
      <c r="F578">
        <v>3012</v>
      </c>
      <c r="G578">
        <v>3069</v>
      </c>
      <c r="H578">
        <v>0.7</v>
      </c>
    </row>
    <row r="579" spans="1:8" x14ac:dyDescent="0.25">
      <c r="A579" t="s">
        <v>23</v>
      </c>
      <c r="B579">
        <v>2500</v>
      </c>
      <c r="C579">
        <v>50</v>
      </c>
      <c r="D579">
        <v>8</v>
      </c>
      <c r="E579">
        <v>0.92900000000000005</v>
      </c>
      <c r="F579">
        <v>3652</v>
      </c>
      <c r="G579">
        <v>3043</v>
      </c>
      <c r="H579">
        <v>0.7</v>
      </c>
    </row>
    <row r="580" spans="1:8" x14ac:dyDescent="0.25">
      <c r="A580" t="s">
        <v>23</v>
      </c>
      <c r="B580">
        <v>2500</v>
      </c>
      <c r="C580">
        <v>50</v>
      </c>
      <c r="D580">
        <v>9</v>
      </c>
      <c r="E580">
        <v>0.39800000000000002</v>
      </c>
      <c r="F580">
        <v>1224</v>
      </c>
      <c r="G580">
        <v>3323</v>
      </c>
      <c r="H580">
        <v>0.7</v>
      </c>
    </row>
    <row r="581" spans="1:8" x14ac:dyDescent="0.25">
      <c r="A581" t="s">
        <v>23</v>
      </c>
      <c r="B581">
        <v>2500</v>
      </c>
      <c r="C581">
        <v>50</v>
      </c>
      <c r="D581">
        <v>10</v>
      </c>
      <c r="E581">
        <v>0.80900000000000005</v>
      </c>
      <c r="F581">
        <v>2693</v>
      </c>
      <c r="G581">
        <v>3087</v>
      </c>
      <c r="H581">
        <v>0.7</v>
      </c>
    </row>
    <row r="582" spans="1:8" x14ac:dyDescent="0.25">
      <c r="A582" t="s">
        <v>23</v>
      </c>
      <c r="B582">
        <v>2500</v>
      </c>
      <c r="C582">
        <v>50</v>
      </c>
      <c r="D582">
        <v>1</v>
      </c>
      <c r="E582">
        <v>0.48699999999999999</v>
      </c>
      <c r="F582">
        <v>1879</v>
      </c>
      <c r="G582">
        <v>3061</v>
      </c>
      <c r="H582">
        <v>0.8</v>
      </c>
    </row>
    <row r="583" spans="1:8" x14ac:dyDescent="0.25">
      <c r="A583" t="s">
        <v>23</v>
      </c>
      <c r="B583">
        <v>2500</v>
      </c>
      <c r="C583">
        <v>50</v>
      </c>
      <c r="D583">
        <v>2</v>
      </c>
      <c r="E583">
        <v>0.745</v>
      </c>
      <c r="F583">
        <v>2675</v>
      </c>
      <c r="G583">
        <v>3042</v>
      </c>
      <c r="H583">
        <v>0.8</v>
      </c>
    </row>
    <row r="584" spans="1:8" x14ac:dyDescent="0.25">
      <c r="A584" t="s">
        <v>23</v>
      </c>
      <c r="B584">
        <v>2500</v>
      </c>
      <c r="C584">
        <v>50</v>
      </c>
      <c r="D584">
        <v>3</v>
      </c>
      <c r="E584">
        <v>0.28599999999999998</v>
      </c>
      <c r="F584">
        <v>1003</v>
      </c>
      <c r="G584">
        <v>3587</v>
      </c>
      <c r="H584">
        <v>0.8</v>
      </c>
    </row>
    <row r="585" spans="1:8" x14ac:dyDescent="0.25">
      <c r="A585" t="s">
        <v>23</v>
      </c>
      <c r="B585">
        <v>2500</v>
      </c>
      <c r="C585">
        <v>50</v>
      </c>
      <c r="D585">
        <v>4</v>
      </c>
      <c r="E585">
        <v>0.40100000000000002</v>
      </c>
      <c r="F585">
        <v>1042</v>
      </c>
      <c r="G585">
        <v>3032</v>
      </c>
      <c r="H585">
        <v>0.8</v>
      </c>
    </row>
    <row r="586" spans="1:8" x14ac:dyDescent="0.25">
      <c r="A586" t="s">
        <v>23</v>
      </c>
      <c r="B586">
        <v>2500</v>
      </c>
      <c r="C586">
        <v>50</v>
      </c>
      <c r="D586">
        <v>5</v>
      </c>
      <c r="E586">
        <v>0.73199999999999998</v>
      </c>
      <c r="F586">
        <v>2375</v>
      </c>
      <c r="G586">
        <v>3251</v>
      </c>
      <c r="H586">
        <v>0.8</v>
      </c>
    </row>
    <row r="587" spans="1:8" x14ac:dyDescent="0.25">
      <c r="A587" t="s">
        <v>23</v>
      </c>
      <c r="B587">
        <v>2500</v>
      </c>
      <c r="C587">
        <v>50</v>
      </c>
      <c r="D587">
        <v>6</v>
      </c>
      <c r="E587">
        <v>0.72</v>
      </c>
      <c r="F587">
        <v>3000</v>
      </c>
      <c r="G587">
        <v>2977</v>
      </c>
      <c r="H587">
        <v>0.8</v>
      </c>
    </row>
    <row r="588" spans="1:8" x14ac:dyDescent="0.25">
      <c r="A588" t="s">
        <v>23</v>
      </c>
      <c r="B588">
        <v>2500</v>
      </c>
      <c r="C588">
        <v>50</v>
      </c>
      <c r="D588">
        <v>7</v>
      </c>
      <c r="E588">
        <v>0.39600000000000002</v>
      </c>
      <c r="F588">
        <v>1571</v>
      </c>
      <c r="G588">
        <v>3259</v>
      </c>
      <c r="H588">
        <v>0.8</v>
      </c>
    </row>
    <row r="589" spans="1:8" x14ac:dyDescent="0.25">
      <c r="A589" t="s">
        <v>23</v>
      </c>
      <c r="B589">
        <v>2500</v>
      </c>
      <c r="C589">
        <v>50</v>
      </c>
      <c r="D589">
        <v>8</v>
      </c>
      <c r="E589">
        <v>0.27100000000000002</v>
      </c>
      <c r="F589">
        <v>1000</v>
      </c>
      <c r="G589">
        <v>3295</v>
      </c>
      <c r="H589">
        <v>0.8</v>
      </c>
    </row>
    <row r="590" spans="1:8" x14ac:dyDescent="0.25">
      <c r="A590" t="s">
        <v>23</v>
      </c>
      <c r="B590">
        <v>2500</v>
      </c>
      <c r="C590">
        <v>50</v>
      </c>
      <c r="D590">
        <v>9</v>
      </c>
      <c r="E590">
        <v>0.52900000000000003</v>
      </c>
      <c r="F590">
        <v>1486</v>
      </c>
      <c r="G590">
        <v>3297</v>
      </c>
      <c r="H590">
        <v>0.8</v>
      </c>
    </row>
    <row r="591" spans="1:8" x14ac:dyDescent="0.25">
      <c r="A591" t="s">
        <v>23</v>
      </c>
      <c r="B591">
        <v>2500</v>
      </c>
      <c r="C591">
        <v>50</v>
      </c>
      <c r="D591">
        <v>10</v>
      </c>
      <c r="E591">
        <v>0.42</v>
      </c>
      <c r="F591">
        <v>1678</v>
      </c>
      <c r="G591">
        <v>3023</v>
      </c>
      <c r="H591">
        <v>0.8</v>
      </c>
    </row>
    <row r="592" spans="1:8" x14ac:dyDescent="0.25">
      <c r="A592" t="s">
        <v>23</v>
      </c>
      <c r="B592">
        <v>2500</v>
      </c>
      <c r="C592">
        <v>50</v>
      </c>
      <c r="D592">
        <v>1</v>
      </c>
      <c r="E592">
        <v>0.54200000000000004</v>
      </c>
      <c r="F592">
        <v>2175</v>
      </c>
      <c r="G592">
        <v>3167</v>
      </c>
      <c r="H592">
        <v>0.9</v>
      </c>
    </row>
    <row r="593" spans="1:8" x14ac:dyDescent="0.25">
      <c r="A593" t="s">
        <v>23</v>
      </c>
      <c r="B593">
        <v>2500</v>
      </c>
      <c r="C593">
        <v>50</v>
      </c>
      <c r="D593">
        <v>2</v>
      </c>
      <c r="E593">
        <v>0.29599999999999999</v>
      </c>
      <c r="F593">
        <v>1135</v>
      </c>
      <c r="G593">
        <v>3242</v>
      </c>
      <c r="H593">
        <v>0.9</v>
      </c>
    </row>
    <row r="594" spans="1:8" x14ac:dyDescent="0.25">
      <c r="A594" t="s">
        <v>23</v>
      </c>
      <c r="B594">
        <v>2500</v>
      </c>
      <c r="C594">
        <v>50</v>
      </c>
      <c r="D594">
        <v>3</v>
      </c>
      <c r="E594">
        <v>0.35899999999999999</v>
      </c>
      <c r="F594">
        <v>1428</v>
      </c>
      <c r="G594">
        <v>3222</v>
      </c>
      <c r="H594">
        <v>0.9</v>
      </c>
    </row>
    <row r="595" spans="1:8" x14ac:dyDescent="0.25">
      <c r="A595" t="s">
        <v>23</v>
      </c>
      <c r="B595">
        <v>2500</v>
      </c>
      <c r="C595">
        <v>50</v>
      </c>
      <c r="D595">
        <v>4</v>
      </c>
      <c r="E595">
        <v>0.44500000000000001</v>
      </c>
      <c r="F595">
        <v>1823</v>
      </c>
      <c r="G595">
        <v>3106</v>
      </c>
      <c r="H595">
        <v>0.9</v>
      </c>
    </row>
    <row r="596" spans="1:8" x14ac:dyDescent="0.25">
      <c r="A596" t="s">
        <v>23</v>
      </c>
      <c r="B596">
        <v>2500</v>
      </c>
      <c r="C596">
        <v>50</v>
      </c>
      <c r="D596">
        <v>5</v>
      </c>
      <c r="E596">
        <v>0.32800000000000001</v>
      </c>
      <c r="F596">
        <v>1239</v>
      </c>
      <c r="G596">
        <v>3126</v>
      </c>
      <c r="H596">
        <v>0.9</v>
      </c>
    </row>
    <row r="597" spans="1:8" x14ac:dyDescent="0.25">
      <c r="A597" t="s">
        <v>23</v>
      </c>
      <c r="B597">
        <v>2500</v>
      </c>
      <c r="C597">
        <v>50</v>
      </c>
      <c r="D597">
        <v>6</v>
      </c>
      <c r="E597">
        <v>0.44800000000000001</v>
      </c>
      <c r="F597">
        <v>1811</v>
      </c>
      <c r="G597">
        <v>3256</v>
      </c>
      <c r="H597">
        <v>0.9</v>
      </c>
    </row>
    <row r="598" spans="1:8" x14ac:dyDescent="0.25">
      <c r="A598" t="s">
        <v>23</v>
      </c>
      <c r="B598">
        <v>2500</v>
      </c>
      <c r="C598">
        <v>50</v>
      </c>
      <c r="D598">
        <v>7</v>
      </c>
      <c r="E598">
        <v>0.32900000000000001</v>
      </c>
      <c r="F598">
        <v>1229</v>
      </c>
      <c r="G598">
        <v>3190</v>
      </c>
      <c r="H598">
        <v>0.9</v>
      </c>
    </row>
    <row r="599" spans="1:8" x14ac:dyDescent="0.25">
      <c r="A599" t="s">
        <v>23</v>
      </c>
      <c r="B599">
        <v>2500</v>
      </c>
      <c r="C599">
        <v>50</v>
      </c>
      <c r="D599">
        <v>8</v>
      </c>
      <c r="E599">
        <v>0.76800000000000002</v>
      </c>
      <c r="F599">
        <v>3103</v>
      </c>
      <c r="G599">
        <v>3270</v>
      </c>
      <c r="H599">
        <v>0.9</v>
      </c>
    </row>
    <row r="600" spans="1:8" x14ac:dyDescent="0.25">
      <c r="A600" t="s">
        <v>23</v>
      </c>
      <c r="B600">
        <v>2500</v>
      </c>
      <c r="C600">
        <v>50</v>
      </c>
      <c r="D600">
        <v>9</v>
      </c>
      <c r="E600">
        <v>0.64100000000000001</v>
      </c>
      <c r="F600">
        <v>2176</v>
      </c>
      <c r="G600">
        <v>3271</v>
      </c>
      <c r="H600">
        <v>0.9</v>
      </c>
    </row>
    <row r="601" spans="1:8" x14ac:dyDescent="0.25">
      <c r="A601" t="s">
        <v>23</v>
      </c>
      <c r="B601">
        <v>2500</v>
      </c>
      <c r="C601">
        <v>50</v>
      </c>
      <c r="D601">
        <v>10</v>
      </c>
      <c r="E601">
        <v>0.998</v>
      </c>
      <c r="F601">
        <v>3926</v>
      </c>
      <c r="G601">
        <v>3075</v>
      </c>
      <c r="H601">
        <v>0.9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opLeftCell="A5" zoomScaleNormal="100" workbookViewId="0">
      <selection activeCell="F52" sqref="F52"/>
    </sheetView>
  </sheetViews>
  <sheetFormatPr defaultColWidth="8.7109375" defaultRowHeight="15" x14ac:dyDescent="0.25"/>
  <cols>
    <col min="1" max="1" width="42" customWidth="1"/>
    <col min="2" max="3" width="15" customWidth="1"/>
    <col min="4" max="4" width="16" customWidth="1"/>
    <col min="5" max="5" width="15" customWidth="1"/>
    <col min="6" max="6" width="20" customWidth="1"/>
  </cols>
  <sheetData>
    <row r="1" spans="1:6" ht="18" x14ac:dyDescent="0.25">
      <c r="A1" s="8" t="s">
        <v>24</v>
      </c>
      <c r="B1" s="8"/>
      <c r="C1" s="8"/>
      <c r="D1" s="8"/>
      <c r="E1" s="8"/>
      <c r="F1" s="8"/>
    </row>
    <row r="3" spans="1:6" ht="30" x14ac:dyDescent="0.2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</row>
    <row r="4" spans="1:6" x14ac:dyDescent="0.25">
      <c r="A4" s="6" t="s">
        <v>31</v>
      </c>
      <c r="B4" s="7">
        <f>AVERAGEIF(Dados!$A$2:$A$601,"primeiramelhora",Dados!$F$2:$F$601)</f>
        <v>53257.1</v>
      </c>
      <c r="C4" s="7">
        <f>_xlfn.MAXIFS(Dados!$F$2:$F$601,Dados!$A$2:$A$601,"primeiramelhora")</f>
        <v>412035</v>
      </c>
      <c r="D4" s="7">
        <f>AVERAGEIF(Dados!$A$2:$A$601,"primeiramelhora",Dados!$E$2:$E$601)</f>
        <v>9.6772833333333317</v>
      </c>
      <c r="E4" s="7">
        <f>_xlfn.MAXIFS(Dados!$E$2:$E$601,Dados!$A$2:$A$601,"primeiramelhora")</f>
        <v>76.495999999999995</v>
      </c>
      <c r="F4" s="7">
        <f>AVERAGEIF(Dados!$A$2:$A$601,"primeiramelhora",Dados!$G$2:$G$601)</f>
        <v>979.15</v>
      </c>
    </row>
    <row r="5" spans="1:6" x14ac:dyDescent="0.25">
      <c r="A5" s="6" t="s">
        <v>32</v>
      </c>
      <c r="B5" s="7">
        <f>AVERAGEIF(Dados!$A$2:$A$601,"monotonarandomizada",Dados!$F$2:$F$601)</f>
        <v>1943.2037037037037</v>
      </c>
      <c r="C5" s="7">
        <f>_xlfn.MAXIFS(Dados!$F$2:$F$601,Dados!$A$2:$A$601,"monotonarandomizada")</f>
        <v>5495</v>
      </c>
      <c r="D5" s="7">
        <f>AVERAGEIF(Dados!$A$2:$A$601,"monotonarandomizada",Dados!$E$2:$E$601)</f>
        <v>0.35362222222222228</v>
      </c>
      <c r="E5" s="7">
        <f>_xlfn.MAXIFS(Dados!$E$2:$E$601,Dados!$A$2:$A$601,"monotonarandomizada")</f>
        <v>1.3720000000000001</v>
      </c>
      <c r="F5" s="7">
        <f>AVERAGEIF(Dados!$A$2:$A$601,"monotonarandomizada",Dados!$G$2:$G$601)</f>
        <v>976.62777777777774</v>
      </c>
    </row>
    <row r="6" spans="1:6" x14ac:dyDescent="0.25">
      <c r="A6" s="6" t="s">
        <v>33</v>
      </c>
      <c r="B6" s="7">
        <f>AVERAGEIFS(Dados!$F$2:$F$601,Dados!$A$2:$A$601,"monotonarandomizada",Dados!$H$2:$H$601,0.1)</f>
        <v>2242.5500000000002</v>
      </c>
      <c r="C6" s="7">
        <f>_xlfn.MAXIFS(Dados!$F$2:$F$601,Dados!$A$2:$A$601,"monotonarandomizada",Dados!$H$2:$H$601,0.1)</f>
        <v>5495</v>
      </c>
      <c r="D6" s="7">
        <f>AVERAGEIFS(Dados!$E$2:$E$601,Dados!$A$2:$A$601,"monotonarandomizada",Dados!$H$2:$H$601,0.1)</f>
        <v>0.40778333333333339</v>
      </c>
      <c r="E6" s="7">
        <f>_xlfn.MAXIFS(Dados!$E$2:$E$601,Dados!$A$2:$A$601,"monotonarandomizada",Dados!$H$2:$H$601,0.1)</f>
        <v>1.3720000000000001</v>
      </c>
      <c r="F6" s="7">
        <f>AVERAGEIFS(Dados!$G$2:$G$601,Dados!$A$2:$A$601,"monotonarandomizada",Dados!$H$2:$H$601,0.1)</f>
        <v>906.3</v>
      </c>
    </row>
    <row r="8" spans="1:6" x14ac:dyDescent="0.25">
      <c r="A8" s="9" t="s">
        <v>34</v>
      </c>
      <c r="B8" s="9"/>
      <c r="C8" s="9"/>
      <c r="D8" s="9"/>
      <c r="E8" s="9"/>
      <c r="F8" s="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C34" sqref="C34"/>
    </sheetView>
  </sheetViews>
  <sheetFormatPr defaultColWidth="8.7109375" defaultRowHeight="15" x14ac:dyDescent="0.25"/>
  <cols>
    <col min="1" max="1" width="21.7109375" customWidth="1"/>
    <col min="2" max="2" width="23.42578125" customWidth="1"/>
    <col min="3" max="3" width="27.5703125" customWidth="1"/>
    <col min="4" max="4" width="27" customWidth="1"/>
  </cols>
  <sheetData>
    <row r="1" spans="1:4" ht="18" x14ac:dyDescent="0.25">
      <c r="A1" s="8" t="s">
        <v>35</v>
      </c>
      <c r="B1" s="8"/>
      <c r="C1" s="8"/>
      <c r="D1" s="8"/>
    </row>
    <row r="3" spans="1:4" x14ac:dyDescent="0.25">
      <c r="A3" s="4" t="s">
        <v>36</v>
      </c>
      <c r="B3" s="4" t="s">
        <v>26</v>
      </c>
      <c r="C3" s="4" t="s">
        <v>28</v>
      </c>
      <c r="D3" s="4" t="s">
        <v>30</v>
      </c>
    </row>
    <row r="4" spans="1:4" x14ac:dyDescent="0.25">
      <c r="A4" s="6">
        <v>0.1</v>
      </c>
      <c r="B4" s="7">
        <f>AVERAGEIFS(Dados!$F$2:$F$601,Dados!$A$2:$A$601,"monotonarandomizada",Dados!$H$2:$H$601,A4)</f>
        <v>2242.5500000000002</v>
      </c>
      <c r="C4" s="7">
        <f>AVERAGEIFS(Dados!$E$2:$E$601,Dados!$A$2:$A$601,"monotonarandomizada",Dados!$H$2:$H$601,A4)</f>
        <v>0.40778333333333339</v>
      </c>
      <c r="D4" s="7">
        <f>AVERAGEIFS(Dados!$G$2:$G$601,Dados!$A$2:$A$601,"monotonarandomizada",Dados!$H$2:$H$601,A4)</f>
        <v>906.3</v>
      </c>
    </row>
    <row r="5" spans="1:4" x14ac:dyDescent="0.25">
      <c r="A5" s="6">
        <v>0.2</v>
      </c>
      <c r="B5" s="7">
        <f>AVERAGEIFS(Dados!$F$2:$F$601,Dados!$A$2:$A$601,"monotonarandomizada",Dados!$H$2:$H$601,A5)</f>
        <v>2104.9333333333334</v>
      </c>
      <c r="C5" s="7">
        <f>AVERAGEIFS(Dados!$E$2:$E$601,Dados!$A$2:$A$601,"monotonarandomizada",Dados!$H$2:$H$601,A5)</f>
        <v>0.40294999999999986</v>
      </c>
      <c r="D5" s="7">
        <f>AVERAGEIFS(Dados!$G$2:$G$601,Dados!$A$2:$A$601,"monotonarandomizada",Dados!$H$2:$H$601,A5)</f>
        <v>933.05</v>
      </c>
    </row>
    <row r="6" spans="1:4" x14ac:dyDescent="0.25">
      <c r="A6" s="6">
        <v>0.3</v>
      </c>
      <c r="B6" s="7">
        <f>AVERAGEIFS(Dados!$F$2:$F$601,Dados!$A$2:$A$601,"monotonarandomizada",Dados!$H$2:$H$601,A6)</f>
        <v>1835.7666666666667</v>
      </c>
      <c r="C6" s="7">
        <f>AVERAGEIFS(Dados!$E$2:$E$601,Dados!$A$2:$A$601,"monotonarandomizada",Dados!$H$2:$H$601,A6)</f>
        <v>0.33109999999999995</v>
      </c>
      <c r="D6" s="7">
        <f>AVERAGEIFS(Dados!$G$2:$G$601,Dados!$A$2:$A$601,"monotonarandomizada",Dados!$H$2:$H$601,A6)</f>
        <v>964.65</v>
      </c>
    </row>
    <row r="7" spans="1:4" x14ac:dyDescent="0.25">
      <c r="A7" s="6">
        <v>0.4</v>
      </c>
      <c r="B7" s="7">
        <f>AVERAGEIFS(Dados!$F$2:$F$601,Dados!$A$2:$A$601,"monotonarandomizada",Dados!$H$2:$H$601,A7)</f>
        <v>1860.6666666666667</v>
      </c>
      <c r="C7" s="7">
        <f>AVERAGEIFS(Dados!$E$2:$E$601,Dados!$A$2:$A$601,"monotonarandomizada",Dados!$H$2:$H$601,A7)</f>
        <v>0.3385999999999999</v>
      </c>
      <c r="D7" s="7">
        <f>AVERAGEIFS(Dados!$G$2:$G$601,Dados!$A$2:$A$601,"monotonarandomizada",Dados!$H$2:$H$601,A7)</f>
        <v>968.4</v>
      </c>
    </row>
    <row r="8" spans="1:4" x14ac:dyDescent="0.25">
      <c r="A8" s="6">
        <v>0.5</v>
      </c>
      <c r="B8" s="7">
        <f>AVERAGEIFS(Dados!$F$2:$F$601,Dados!$A$2:$A$601,"monotonarandomizada",Dados!$H$2:$H$601,A8)</f>
        <v>2015.5166666666667</v>
      </c>
      <c r="C8" s="7">
        <f>AVERAGEIFS(Dados!$E$2:$E$601,Dados!$A$2:$A$601,"monotonarandomizada",Dados!$H$2:$H$601,A8)</f>
        <v>0.37065000000000003</v>
      </c>
      <c r="D8" s="7">
        <f>AVERAGEIFS(Dados!$G$2:$G$601,Dados!$A$2:$A$601,"monotonarandomizada",Dados!$H$2:$H$601,A8)</f>
        <v>969.73333333333335</v>
      </c>
    </row>
    <row r="9" spans="1:4" x14ac:dyDescent="0.25">
      <c r="A9" s="6">
        <v>0.6</v>
      </c>
      <c r="B9" s="7">
        <f>AVERAGEIFS(Dados!$F$2:$F$601,Dados!$A$2:$A$601,"monotonarandomizada",Dados!$H$2:$H$601,A9)</f>
        <v>1944.3333333333333</v>
      </c>
      <c r="C9" s="7">
        <f>AVERAGEIFS(Dados!$E$2:$E$601,Dados!$A$2:$A$601,"monotonarandomizada",Dados!$H$2:$H$601,A9)</f>
        <v>0.35499999999999993</v>
      </c>
      <c r="D9" s="7">
        <f>AVERAGEIFS(Dados!$G$2:$G$601,Dados!$A$2:$A$601,"monotonarandomizada",Dados!$H$2:$H$601,A9)</f>
        <v>992.91666666666663</v>
      </c>
    </row>
    <row r="10" spans="1:4" x14ac:dyDescent="0.25">
      <c r="A10" s="6">
        <v>0.7</v>
      </c>
      <c r="B10" s="7">
        <f>AVERAGEIFS(Dados!$F$2:$F$601,Dados!$A$2:$A$601,"monotonarandomizada",Dados!$H$2:$H$601,A10)</f>
        <v>1833.4166666666667</v>
      </c>
      <c r="C10" s="7">
        <f>AVERAGEIFS(Dados!$E$2:$E$601,Dados!$A$2:$A$601,"monotonarandomizada",Dados!$H$2:$H$601,A10)</f>
        <v>0.33123333333333327</v>
      </c>
      <c r="D10" s="7">
        <f>AVERAGEIFS(Dados!$G$2:$G$601,Dados!$A$2:$A$601,"monotonarandomizada",Dados!$H$2:$H$601,A10)</f>
        <v>1007.9</v>
      </c>
    </row>
    <row r="11" spans="1:4" x14ac:dyDescent="0.25">
      <c r="A11" s="6">
        <v>0.8</v>
      </c>
      <c r="B11" s="7">
        <f>AVERAGEIFS(Dados!$F$2:$F$601,Dados!$A$2:$A$601,"monotonarandomizada",Dados!$H$2:$H$601,A11)</f>
        <v>1789.1</v>
      </c>
      <c r="C11" s="7">
        <f>AVERAGEIFS(Dados!$E$2:$E$601,Dados!$A$2:$A$601,"monotonarandomizada",Dados!$H$2:$H$601,A11)</f>
        <v>0.32050000000000001</v>
      </c>
      <c r="D11" s="7">
        <f>AVERAGEIFS(Dados!$G$2:$G$601,Dados!$A$2:$A$601,"monotonarandomizada",Dados!$H$2:$H$601,A11)</f>
        <v>1019.7166666666667</v>
      </c>
    </row>
    <row r="12" spans="1:4" x14ac:dyDescent="0.25">
      <c r="A12" s="6">
        <v>0.9</v>
      </c>
      <c r="B12" s="7">
        <f>AVERAGEIFS(Dados!$F$2:$F$601,Dados!$A$2:$A$601,"monotonarandomizada",Dados!$H$2:$H$601,A12)</f>
        <v>1862.55</v>
      </c>
      <c r="C12" s="7">
        <f>AVERAGEIFS(Dados!$E$2:$E$601,Dados!$A$2:$A$601,"monotonarandomizada",Dados!$H$2:$H$601,A12)</f>
        <v>0.32478333333333331</v>
      </c>
      <c r="D12" s="7">
        <f>AVERAGEIFS(Dados!$G$2:$G$601,Dados!$A$2:$A$601,"monotonarandomizada",Dados!$H$2:$H$601,A12)</f>
        <v>1026.9833333333333</v>
      </c>
    </row>
    <row r="14" spans="1:4" x14ac:dyDescent="0.25">
      <c r="A14" s="1" t="s">
        <v>37</v>
      </c>
      <c r="B14" s="1"/>
      <c r="C14" s="1"/>
      <c r="D14" s="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abSelected="1" zoomScaleNormal="100" workbookViewId="0">
      <selection activeCell="E55" sqref="E55"/>
    </sheetView>
  </sheetViews>
  <sheetFormatPr defaultColWidth="8.7109375" defaultRowHeight="15" x14ac:dyDescent="0.25"/>
  <cols>
    <col min="1" max="1" width="6" customWidth="1"/>
    <col min="2" max="2" width="8" customWidth="1"/>
    <col min="3" max="6" width="22" customWidth="1"/>
    <col min="7" max="8" width="20" customWidth="1"/>
  </cols>
  <sheetData>
    <row r="1" spans="1:8" ht="18" x14ac:dyDescent="0.25">
      <c r="A1" s="8" t="s">
        <v>38</v>
      </c>
      <c r="B1" s="8"/>
      <c r="C1" s="8"/>
      <c r="D1" s="8"/>
      <c r="E1" s="8"/>
      <c r="F1" s="8"/>
      <c r="G1" s="8"/>
    </row>
    <row r="3" spans="1:8" ht="30" x14ac:dyDescent="0.25">
      <c r="A3" s="5" t="s">
        <v>16</v>
      </c>
      <c r="B3" s="5" t="s">
        <v>15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</row>
    <row r="4" spans="1:8" x14ac:dyDescent="0.25">
      <c r="A4" s="6">
        <v>10</v>
      </c>
      <c r="B4" s="6">
        <v>32</v>
      </c>
      <c r="C4" s="7">
        <f>AVERAGEIFS(Dados!$G$2:$G$601,Dados!$A$2:$A$601,"primeiramelhora",Dados!$C$2:$C$601,A4,Dados!$B$2:$B$601,B4)</f>
        <v>171.5</v>
      </c>
      <c r="D4" s="7">
        <f>AVERAGEIFS(Dados!$G$2:$G$601,Dados!$A$2:$A$601,"monotonarandomizada",Dados!$C$2:$C$601,A4,Dados!$B$2:$B$601,B4,Dados!$H$2:$H$601,0.1)</f>
        <v>195</v>
      </c>
      <c r="E4" s="7">
        <f>AVERAGEIFS(Dados!$E$2:$E$601,Dados!$A$2:$A$601,"primeiramelhora",Dados!$C$2:$C$601,A4,Dados!$B$2:$B$601,B4)</f>
        <v>6.0000000000000012E-2</v>
      </c>
      <c r="F4" s="7">
        <f>AVERAGEIFS(Dados!$E$2:$E$601,Dados!$A$2:$A$601,"monotonarandomizada",Dados!$C$2:$C$601,A4,Dados!$B$2:$B$601,B4,Dados!$H$2:$H$601,0.1)</f>
        <v>0.21669999999999998</v>
      </c>
      <c r="G4" s="7">
        <f>AVERAGEIFS(Dados!$F$2:$F$601,Dados!$A$2:$A$601,"primeiramelhora",Dados!$C$2:$C$601,A4,Dados!$B$2:$B$601,B4)</f>
        <v>1004</v>
      </c>
      <c r="H4" s="7">
        <f>AVERAGEIFS(Dados!$F$2:$F$601,Dados!$A$2:$A$601,"monotonarandomizada",Dados!$C$2:$C$601,A4,Dados!$B$2:$B$601,B4,Dados!$H$2:$H$601,0.1)</f>
        <v>1807.4</v>
      </c>
    </row>
    <row r="5" spans="1:8" x14ac:dyDescent="0.25">
      <c r="A5" s="6">
        <v>10</v>
      </c>
      <c r="B5" s="6">
        <v>100</v>
      </c>
      <c r="C5" s="7">
        <f>AVERAGEIFS(Dados!$G$2:$G$601,Dados!$A$2:$A$601,"primeiramelhora",Dados!$C$2:$C$601,A5,Dados!$B$2:$B$601,B5)</f>
        <v>527.70000000000005</v>
      </c>
      <c r="D5" s="7">
        <f>AVERAGEIFS(Dados!$G$2:$G$601,Dados!$A$2:$A$601,"monotonarandomizada",Dados!$C$2:$C$601,A5,Dados!$B$2:$B$601,B5,Dados!$H$2:$H$601,0.1)</f>
        <v>533.29999999999995</v>
      </c>
      <c r="E5" s="7">
        <f>AVERAGEIFS(Dados!$E$2:$E$601,Dados!$A$2:$A$601,"primeiramelhora",Dados!$C$2:$C$601,A5,Dados!$B$2:$B$601,B5)</f>
        <v>0.14679999999999999</v>
      </c>
      <c r="F5" s="7">
        <f>AVERAGEIFS(Dados!$E$2:$E$601,Dados!$A$2:$A$601,"monotonarandomizada",Dados!$C$2:$C$601,A5,Dados!$B$2:$B$601,B5,Dados!$H$2:$H$601,0.1)</f>
        <v>0.18959999999999999</v>
      </c>
      <c r="G5" s="7">
        <f>AVERAGEIFS(Dados!$F$2:$F$601,Dados!$A$2:$A$601,"primeiramelhora",Dados!$C$2:$C$601,A5,Dados!$B$2:$B$601,B5)</f>
        <v>2717.8</v>
      </c>
      <c r="H5" s="7">
        <f>AVERAGEIFS(Dados!$F$2:$F$601,Dados!$A$2:$A$601,"monotonarandomizada",Dados!$C$2:$C$601,A5,Dados!$B$2:$B$601,B5,Dados!$H$2:$H$601,0.1)</f>
        <v>1768.9</v>
      </c>
    </row>
    <row r="6" spans="1:8" x14ac:dyDescent="0.25">
      <c r="A6" s="6">
        <v>20</v>
      </c>
      <c r="B6" s="6">
        <v>89</v>
      </c>
      <c r="C6" s="7">
        <f>AVERAGEIFS(Dados!$G$2:$G$601,Dados!$A$2:$A$601,"primeiramelhora",Dados!$C$2:$C$601,A6,Dados!$B$2:$B$601,B6)</f>
        <v>304.2</v>
      </c>
      <c r="D6" s="7">
        <f>AVERAGEIFS(Dados!$G$2:$G$601,Dados!$A$2:$A$601,"monotonarandomizada",Dados!$C$2:$C$601,A6,Dados!$B$2:$B$601,B6,Dados!$H$2:$H$601,0.1)</f>
        <v>294.5</v>
      </c>
      <c r="E6" s="7">
        <f>AVERAGEIFS(Dados!$E$2:$E$601,Dados!$A$2:$A$601,"primeiramelhora",Dados!$C$2:$C$601,A6,Dados!$B$2:$B$601,B6)</f>
        <v>0.54859999999999998</v>
      </c>
      <c r="F6" s="7">
        <f>AVERAGEIFS(Dados!$E$2:$E$601,Dados!$A$2:$A$601,"monotonarandomizada",Dados!$C$2:$C$601,A6,Dados!$B$2:$B$601,B6,Dados!$H$2:$H$601,0.1)</f>
        <v>0.29299999999999998</v>
      </c>
      <c r="G6" s="7">
        <f>AVERAGEIFS(Dados!$F$2:$F$601,Dados!$A$2:$A$601,"primeiramelhora",Dados!$C$2:$C$601,A6,Dados!$B$2:$B$601,B6)</f>
        <v>5514</v>
      </c>
      <c r="H6" s="7">
        <f>AVERAGEIFS(Dados!$F$2:$F$601,Dados!$A$2:$A$601,"monotonarandomizada",Dados!$C$2:$C$601,A6,Dados!$B$2:$B$601,B6,Dados!$H$2:$H$601,0.1)</f>
        <v>2067.1999999999998</v>
      </c>
    </row>
    <row r="7" spans="1:8" x14ac:dyDescent="0.25">
      <c r="A7" s="6">
        <v>20</v>
      </c>
      <c r="B7" s="6">
        <v>400</v>
      </c>
      <c r="C7" s="7">
        <f>AVERAGEIFS(Dados!$G$2:$G$601,Dados!$A$2:$A$601,"primeiramelhora",Dados!$C$2:$C$601,A7,Dados!$B$2:$B$601,B7)</f>
        <v>1253.5</v>
      </c>
      <c r="D7" s="7">
        <f>AVERAGEIFS(Dados!$G$2:$G$601,Dados!$A$2:$A$601,"monotonarandomizada",Dados!$C$2:$C$601,A7,Dados!$B$2:$B$601,B7,Dados!$H$2:$H$601,0.1)</f>
        <v>1092.0999999999999</v>
      </c>
      <c r="E7" s="7">
        <f>AVERAGEIFS(Dados!$E$2:$E$601,Dados!$A$2:$A$601,"primeiramelhora",Dados!$C$2:$C$601,A7,Dados!$B$2:$B$601,B7)</f>
        <v>1.5487</v>
      </c>
      <c r="F7" s="7">
        <f>AVERAGEIFS(Dados!$E$2:$E$601,Dados!$A$2:$A$601,"monotonarandomizada",Dados!$C$2:$C$601,A7,Dados!$B$2:$B$601,B7,Dados!$H$2:$H$601,0.1)</f>
        <v>0.31179999999999997</v>
      </c>
      <c r="G7" s="7">
        <f>AVERAGEIFS(Dados!$F$2:$F$601,Dados!$A$2:$A$601,"primeiramelhora",Dados!$C$2:$C$601,A7,Dados!$B$2:$B$601,B7)</f>
        <v>17036.2</v>
      </c>
      <c r="H7" s="7">
        <f>AVERAGEIFS(Dados!$F$2:$F$601,Dados!$A$2:$A$601,"monotonarandomizada",Dados!$C$2:$C$601,A7,Dados!$B$2:$B$601,B7,Dados!$H$2:$H$601,0.1)</f>
        <v>2021.1</v>
      </c>
    </row>
    <row r="8" spans="1:8" x14ac:dyDescent="0.25">
      <c r="A8" s="6">
        <v>50</v>
      </c>
      <c r="B8" s="6">
        <v>354</v>
      </c>
      <c r="C8" s="7">
        <f>AVERAGEIFS(Dados!$G$2:$G$601,Dados!$A$2:$A$601,"primeiramelhora",Dados!$C$2:$C$601,A8,Dados!$B$2:$B$601,B8)</f>
        <v>583.29999999999995</v>
      </c>
      <c r="D8" s="7">
        <f>AVERAGEIFS(Dados!$G$2:$G$601,Dados!$A$2:$A$601,"monotonarandomizada",Dados!$C$2:$C$601,A8,Dados!$B$2:$B$601,B8,Dados!$H$2:$H$601,0.1)</f>
        <v>493.5</v>
      </c>
      <c r="E8" s="7">
        <f>AVERAGEIFS(Dados!$E$2:$E$601,Dados!$A$2:$A$601,"primeiramelhora",Dados!$C$2:$C$601,A8,Dados!$B$2:$B$601,B8)</f>
        <v>8.5229999999999997</v>
      </c>
      <c r="F8" s="7">
        <f>AVERAGEIFS(Dados!$E$2:$E$601,Dados!$A$2:$A$601,"monotonarandomizada",Dados!$C$2:$C$601,A8,Dados!$B$2:$B$601,B8,Dados!$H$2:$H$601,0.1)</f>
        <v>0.52710000000000001</v>
      </c>
      <c r="G8" s="7">
        <f>AVERAGEIFS(Dados!$F$2:$F$601,Dados!$A$2:$A$601,"primeiramelhora",Dados!$C$2:$C$601,A8,Dados!$B$2:$B$601,B8)</f>
        <v>43662.5</v>
      </c>
      <c r="H8" s="7">
        <f>AVERAGEIFS(Dados!$F$2:$F$601,Dados!$A$2:$A$601,"monotonarandomizada",Dados!$C$2:$C$601,A8,Dados!$B$2:$B$601,B8,Dados!$H$2:$H$601,0.1)</f>
        <v>2184.1999999999998</v>
      </c>
    </row>
    <row r="9" spans="1:8" x14ac:dyDescent="0.25">
      <c r="A9" s="6">
        <v>50</v>
      </c>
      <c r="B9" s="6">
        <v>2500</v>
      </c>
      <c r="C9" s="7">
        <f>AVERAGEIFS(Dados!$G$2:$G$601,Dados!$A$2:$A$601,"primeiramelhora",Dados!$C$2:$C$601,A9,Dados!$B$2:$B$601,B9)</f>
        <v>3034.7</v>
      </c>
      <c r="D9" s="7">
        <f>AVERAGEIFS(Dados!$G$2:$G$601,Dados!$A$2:$A$601,"monotonarandomizada",Dados!$C$2:$C$601,A9,Dados!$B$2:$B$601,B9,Dados!$H$2:$H$601,0.1)</f>
        <v>2829.4</v>
      </c>
      <c r="E9" s="7">
        <f>AVERAGEIFS(Dados!$E$2:$E$601,Dados!$A$2:$A$601,"primeiramelhora",Dados!$C$2:$C$601,A9,Dados!$B$2:$B$601,B9)</f>
        <v>47.236599999999996</v>
      </c>
      <c r="F9" s="7">
        <f>AVERAGEIFS(Dados!$E$2:$E$601,Dados!$A$2:$A$601,"monotonarandomizada",Dados!$C$2:$C$601,A9,Dados!$B$2:$B$601,B9,Dados!$H$2:$H$601,0.1)</f>
        <v>0.90849999999999986</v>
      </c>
      <c r="G9" s="7">
        <f>AVERAGEIFS(Dados!$F$2:$F$601,Dados!$A$2:$A$601,"primeiramelhora",Dados!$C$2:$C$601,A9,Dados!$B$2:$B$601,B9)</f>
        <v>249608.1</v>
      </c>
      <c r="H9" s="7">
        <f>AVERAGEIFS(Dados!$F$2:$F$601,Dados!$A$2:$A$601,"monotonarandomizada",Dados!$C$2:$C$601,A9,Dados!$B$2:$B$601,B9,Dados!$H$2:$H$601,0.1)</f>
        <v>3606.5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Conclusoes</vt:lpstr>
      <vt:lpstr>Dados</vt:lpstr>
      <vt:lpstr>Resumo por Heuristica</vt:lpstr>
      <vt:lpstr>Resumo por Alpha</vt:lpstr>
      <vt:lpstr>Comparacao por Instancia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Herick Vitor Vieira Bittencourt</cp:lastModifiedBy>
  <cp:revision>1</cp:revision>
  <dcterms:created xsi:type="dcterms:W3CDTF">2026-07-30T01:35:22Z</dcterms:created>
  <dcterms:modified xsi:type="dcterms:W3CDTF">2026-07-31T17:18:40Z</dcterms:modified>
  <dc:language>en-US</dc:language>
</cp:coreProperties>
</file>